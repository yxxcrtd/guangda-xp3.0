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简要说明" sheetId="12" r:id="rId1"/>
    <sheet name="批量执行脚本提取" sheetId="13" state="hidden" r:id="rId2"/>
    <sheet name="【01_资产减值】功能改造数据脚本" sheetId="10" r:id="rId3"/>
    <sheet name="【02_新估值指引改造】01_功能改造数据脚本" sheetId="5" r:id="rId4"/>
    <sheet name="【02_新估值指引改造】02_数据移植转换" sheetId="6" r:id="rId5"/>
    <sheet name="【02_新估值指引改造】辅助查询" sheetId="9" r:id="rId6"/>
    <sheet name="【03_VAS3.0】功能改造数据脚本" sheetId="11" r:id="rId7"/>
    <sheet name="【04_其他】" sheetId="14" r:id="rId8"/>
  </sheets>
  <definedNames>
    <definedName name="_xlnm._FilterDatabase" localSheetId="3" hidden="1">【02_新估值指引改造】01_功能改造数据脚本!$A$1:$G$46</definedName>
    <definedName name="_xlnm._FilterDatabase" localSheetId="2" hidden="1">【01_资产减值】功能改造数据脚本!$A$1:$F$2</definedName>
    <definedName name="_xlnm._FilterDatabase" localSheetId="6" hidden="1">【03_VAS3.0】功能改造数据脚本!$A$1:$F$2</definedName>
    <definedName name="_xlnm._FilterDatabase" localSheetId="7" hidden="1">【04_其他】!$A$1:$F$1</definedName>
  </definedNames>
  <calcPr calcId="144525"/>
</workbook>
</file>

<file path=xl/sharedStrings.xml><?xml version="1.0" encoding="utf-8"?>
<sst xmlns="http://schemas.openxmlformats.org/spreadsheetml/2006/main" count="621" uniqueCount="232">
  <si>
    <t>序号</t>
  </si>
  <si>
    <t>分类</t>
  </si>
  <si>
    <t>脚本</t>
  </si>
  <si>
    <t>备注</t>
  </si>
  <si>
    <t>资产减值</t>
  </si>
  <si>
    <t>【01_资产减值】功能改造数据脚本</t>
  </si>
  <si>
    <t>2.1.4版本</t>
  </si>
  <si>
    <t>新估值指引改造</t>
  </si>
  <si>
    <t>【02_新估值指引改造】01_功能改造数据脚本</t>
  </si>
  <si>
    <t>2.1.4_1123版本</t>
  </si>
  <si>
    <t>【02_新估值指引改造】02_数据移植转换</t>
  </si>
  <si>
    <t>【02_新估值指引改造】辅助查询</t>
  </si>
  <si>
    <t>VAS3.0</t>
  </si>
  <si>
    <t>【03_VAS3.0】功能改造数据脚本</t>
  </si>
  <si>
    <t>VAS3.0.1版本</t>
  </si>
  <si>
    <t>其他</t>
  </si>
  <si>
    <t>【04_其他】</t>
  </si>
  <si>
    <t>2.1.6版本</t>
  </si>
  <si>
    <t>G:\兆尹工作\SVN\资管平台3.0产品\01.项目策划\合并估值核算升级\数据库脚本</t>
  </si>
  <si>
    <t>分支</t>
  </si>
  <si>
    <t>归属</t>
  </si>
  <si>
    <t>文件名</t>
  </si>
  <si>
    <t>01_资产减值\升级脚本\base</t>
  </si>
  <si>
    <t>BASE</t>
  </si>
  <si>
    <t>工作流配置.sql</t>
  </si>
  <si>
    <t>目录和页面.sql</t>
  </si>
  <si>
    <t>批处理配置(BASE).sql</t>
  </si>
  <si>
    <t>系统参数与数据字典.sql</t>
  </si>
  <si>
    <t>01_资产减值\升级脚本\mast</t>
  </si>
  <si>
    <t>MAST</t>
  </si>
  <si>
    <t>01_sppi表结构变更.sql</t>
  </si>
  <si>
    <t>01_减值相关表结构变更.sql</t>
  </si>
  <si>
    <t>02_索引变更.sql</t>
  </si>
  <si>
    <t>03_估值方案明细.sql</t>
  </si>
  <si>
    <t>03_会计场景配置.sql</t>
  </si>
  <si>
    <t>03_科目调整.sql</t>
  </si>
  <si>
    <t>03_科目性质调整.sql</t>
  </si>
  <si>
    <t>03_科目性质分组配置.sql</t>
  </si>
  <si>
    <t>03_批处理配置(MAST).sql</t>
  </si>
  <si>
    <t>03_三表配置.sql</t>
  </si>
  <si>
    <t>03_增值税计税场景配置.sql</t>
  </si>
  <si>
    <t>03_账套参数.sql</t>
  </si>
  <si>
    <t>03_指令映射关系.sql</t>
  </si>
  <si>
    <t>03_其他配置.sql</t>
  </si>
  <si>
    <t>03_计划类资产变更投资目的.sql</t>
  </si>
  <si>
    <t>04_计划类收益型资产投资目的变更_账务明细代码调整.sql</t>
  </si>
  <si>
    <t>02_新估值指引改造\1.升级脚本\科目体系调整</t>
  </si>
  <si>
    <t>02_增值税计提_基础科目性质分组_数据字典.sql</t>
  </si>
  <si>
    <t>01_其他债权投资拆分_数据字典.sql</t>
  </si>
  <si>
    <t>02_新估值指引改造\1.升级脚本\其他功能调整脚本</t>
  </si>
  <si>
    <t>01_财务报表_菜单配置.sql</t>
  </si>
  <si>
    <t>01_财务报表_批处理配置.sql</t>
  </si>
  <si>
    <t>01_财务报表_数据字典.sql</t>
  </si>
  <si>
    <t>03_净值型产品认申购交易_数据字典.sql</t>
  </si>
  <si>
    <t>02_新估值指引改造\1.升级脚本\框架升级</t>
  </si>
  <si>
    <t>20201225_框架批处理任务表增加是否批处理启动执行对象字段.sql</t>
  </si>
  <si>
    <t>20201225_框架中增加用户扩展表.sql</t>
  </si>
  <si>
    <t>20210112_框架用户扩展表增加是否显示交易员ID字段.sql</t>
  </si>
  <si>
    <t>02_资产减值_菜单配置.sql</t>
  </si>
  <si>
    <t>02_资产减值_数据字典.sql</t>
  </si>
  <si>
    <t>03_其他_菜单配置.sql</t>
  </si>
  <si>
    <t>03_其他_批处理配置.sql</t>
  </si>
  <si>
    <t>03_其他_数据字典.sql</t>
  </si>
  <si>
    <t>02_新估值指引改造\1.升级脚本\运维辅助工具</t>
  </si>
  <si>
    <t>运维辅助工具_菜单配置.sql</t>
  </si>
  <si>
    <t>运维辅助工具_批处理配置.sql</t>
  </si>
  <si>
    <t>运维辅助工具_数据字典.sql</t>
  </si>
  <si>
    <t>01_科目名称固化.sql</t>
  </si>
  <si>
    <t>02_新估值指引改造\1.升级脚本\会计分录配置脚本(全量)</t>
  </si>
  <si>
    <t>1.科目表.sql</t>
  </si>
  <si>
    <t>2.科目表-银行.sql</t>
  </si>
  <si>
    <t>3.科目性质表-企业.sql</t>
  </si>
  <si>
    <t>4.会计场景.sql</t>
  </si>
  <si>
    <t>5.会计元素.sql</t>
  </si>
  <si>
    <t>6.场景分支配置（理财账）.sql</t>
  </si>
  <si>
    <t>7.场景科目关系（理财账）.sql</t>
  </si>
  <si>
    <t>99.对3、4账套模板的一些处理.sql</t>
  </si>
  <si>
    <t>05_增值税计提_基础科目性质分组.sql</t>
  </si>
  <si>
    <t>06_几许按照资管新规调整股票科目出账.sql</t>
  </si>
  <si>
    <t>07_科目体系调整_基础科目性质调整.sql</t>
  </si>
  <si>
    <t>08_科目体系调整_账务明细代码更新.sql</t>
  </si>
  <si>
    <t>09.业务明细科目_四级科目名称更新.sql</t>
  </si>
  <si>
    <t>10_科目余额汇总_新增表.sql</t>
  </si>
  <si>
    <t>02_其他债权投资拆分_表结构变更.sql</t>
  </si>
  <si>
    <t>03_其他债权投资拆分_指令映射关系配置.sql</t>
  </si>
  <si>
    <t>03_其他债权投资拆分_接口配置.sql</t>
  </si>
  <si>
    <t>03_其他债权投资拆分_价税分离配.sql</t>
  </si>
  <si>
    <t>03_其他债权投资拆分_批处理配置.sql</t>
  </si>
  <si>
    <t>03_其他债权投资拆分_结算指令数据处理.sql</t>
  </si>
  <si>
    <t>三表优化增加表_20200518.sql</t>
  </si>
  <si>
    <t>增加三表落地批处理_20200521.sql</t>
  </si>
  <si>
    <t>04_净值型产品认申购交易_历史数据处理.sql</t>
  </si>
  <si>
    <t>04_净值型产品认申购交易_批处理匹配关系表.sql</t>
  </si>
  <si>
    <t>04_净值型产品认申购交易_指令映射关系配置.sql</t>
  </si>
  <si>
    <t>20201229_科目余额重汇信息记录表.sql</t>
  </si>
  <si>
    <t>模块</t>
  </si>
  <si>
    <t>处理说明</t>
  </si>
  <si>
    <t>执行顺序</t>
  </si>
  <si>
    <t>工作流配置</t>
  </si>
  <si>
    <t>sppI 测试、资产减值、项目类/计划类利率型估值行情</t>
  </si>
  <si>
    <t>01_资产减值\升级脚本</t>
  </si>
  <si>
    <t>菜单配置</t>
  </si>
  <si>
    <t>批处理配置</t>
  </si>
  <si>
    <t>系统参数和数据字典</t>
  </si>
  <si>
    <t>表结构变更</t>
  </si>
  <si>
    <t>sppi表结构变更</t>
  </si>
  <si>
    <t>减值相关表结构变更</t>
  </si>
  <si>
    <t>索引变更</t>
  </si>
  <si>
    <t>估值方法方案配置</t>
  </si>
  <si>
    <t>计划类收益型资产：默认估值方法方案初始化配置</t>
  </si>
  <si>
    <t>会计分录配置</t>
  </si>
  <si>
    <t>财务三表配置</t>
  </si>
  <si>
    <t>场景计税配置</t>
  </si>
  <si>
    <t>账套参数配置</t>
  </si>
  <si>
    <t>计划类增加投资目的、资产减值</t>
  </si>
  <si>
    <t>指令映射关系配置</t>
  </si>
  <si>
    <t>计划类收益型资产：增加投资目的
增加自定义现金流交易指令映射关系配置</t>
  </si>
  <si>
    <t>业务编号规则表-共通业务类型：资产减值管理</t>
  </si>
  <si>
    <t>历史数据处理</t>
  </si>
  <si>
    <t>计划类资产投资目的改造新增字段历史数据初始化</t>
  </si>
  <si>
    <t>计划类资产交易增加投资目的：账务明细代码代码调整</t>
  </si>
  <si>
    <t>异常数据查询</t>
  </si>
  <si>
    <t>1.查询当前数据库是否有异常数据，查询结果为0时，才可执行以下的SQL脚本
2.提取脚本执行前各账套跑批情况</t>
  </si>
  <si>
    <t>链接</t>
  </si>
  <si>
    <t>财务管理</t>
  </si>
  <si>
    <t>手工凭证交易明细表新增字段：科目名称、四级科目名称
记账凭证明细表新增字段：科目名称
新增字段对应历史数据初始化</t>
  </si>
  <si>
    <t>会计分录</t>
  </si>
  <si>
    <t>科目信息(全量)</t>
  </si>
  <si>
    <t>基础科目性质(全量)</t>
  </si>
  <si>
    <t>会计场景(全量)</t>
  </si>
  <si>
    <t>会计元素(全量)</t>
  </si>
  <si>
    <t>场景分支配置(全量)</t>
  </si>
  <si>
    <t>场景科目关系(全量)</t>
  </si>
  <si>
    <t>应收应付改应计、
FVTPL损益调整、活期科目不在3级科目区分币种</t>
  </si>
  <si>
    <t>增值税计提：
1.数据字典：基础科目性质分组增加数据项【增值税损益科目分组】
2.基础科目性质分组表增加【增值税损益科目分组】的配置</t>
  </si>
  <si>
    <t>股票资产会计核算科目调整</t>
  </si>
  <si>
    <t>基础科目性质分组调整，其他费用支出科目的基础科目性质由 其他支出 调整为 其他费用支出</t>
  </si>
  <si>
    <t>资金账户对应账务明细代码四级科目尾号、四级科目尾号名称字段数据初始化</t>
  </si>
  <si>
    <t>科目名称修改同步更新业务明细科目表中的四级科目名称</t>
  </si>
  <si>
    <t>科目余额汇总处理增加日初科目余额表</t>
  </si>
  <si>
    <t>其他债权类资产拆分</t>
  </si>
  <si>
    <t>指令类型、会计场景代码新增数据项【增值税损益科目分组】</t>
  </si>
  <si>
    <t>标的类金融产品附属表新增字段：是否其他债权类资产
新增字段的历史数据初始化</t>
  </si>
  <si>
    <t>交易入账增加指令映射关系配置</t>
  </si>
  <si>
    <t>基础资料接口新增字段：是否其他债权类资产</t>
  </si>
  <si>
    <t>新增场景计税配置</t>
  </si>
  <si>
    <t>买入、卖出交易对应的资金交收指令类型更新</t>
  </si>
  <si>
    <t>会计报表</t>
  </si>
  <si>
    <t>利润表、资产负债表 增加明细查询页面
新增财务四表通过落地表查询功能菜单
现金流量表增加明细查询页面
删除原财务三表菜单</t>
  </si>
  <si>
    <t>三表落地批处理任务配置脚本</t>
  </si>
  <si>
    <t>新增数据字典【报表类型】</t>
  </si>
  <si>
    <t>增加表【资产负债表数据】</t>
  </si>
  <si>
    <t>净值型、货币型认申购交易</t>
  </si>
  <si>
    <t>净值型、货币型产品认申购交易核算会计事件调整</t>
  </si>
  <si>
    <t>框架升级</t>
  </si>
  <si>
    <t>开放账套参数管理功能
会计科目查询：查询条件“科目类型”中删除枚举值“07登记薄类”</t>
  </si>
  <si>
    <t>批处理分组明细</t>
  </si>
  <si>
    <t>数据字典：会计事件 增加本次新增的会计场景数据项</t>
  </si>
  <si>
    <t>运维辅助工具</t>
  </si>
  <si>
    <t>科目扩展四级科目菜单配置
基础科目性质调整菜单配置
账务明细代码调整菜单配置
账务明细代码加密菜单配置
科目信息变更菜单配置</t>
  </si>
  <si>
    <t>科目余额重汇批处理配置</t>
  </si>
  <si>
    <t>科目信息变更：新增数据字典【处理方式】</t>
  </si>
  <si>
    <t>科目信息变更</t>
  </si>
  <si>
    <t>通过【运维辅助工具-科目信息变更】提取可执行脚本，并执行脚本</t>
  </si>
  <si>
    <t>科目扩展四级科目</t>
  </si>
  <si>
    <t>通过【运维辅助工具-扩展四级科目】提取可执行脚本，并执行脚本</t>
  </si>
  <si>
    <t>基础科目性质调整</t>
  </si>
  <si>
    <t>通过【运维辅助工具-基础科目性质调整(慎用)】提取可执行脚本，并执行脚本</t>
  </si>
  <si>
    <t>日初科目余额初始化</t>
  </si>
  <si>
    <t>通过日初科目余额汇总处理脚本</t>
  </si>
  <si>
    <t>详细描述</t>
  </si>
  <si>
    <t>账务明细当前表</t>
  </si>
  <si>
    <t>SELECT COUNT(1) FROM BOK_BOOKDETAIL_CURRENT A
WHERE A.BUSI_ID IS NULL OR A.BOK_DETAIL_ID IS NULL</t>
  </si>
  <si>
    <t>如何处理，需结合实际生产数据先进行分析</t>
  </si>
  <si>
    <t>账务明细历史表</t>
  </si>
  <si>
    <t>SELECT COUNT(1) FROM BOK_BOOKDETAIL_ALL A
WHERE A.BUSI_ID IS NULL OR A.BOK_DETAIL_ID IS NULL</t>
  </si>
  <si>
    <t>账套跑批结果查询</t>
  </si>
  <si>
    <t>SELECT A.BOOKSET_ID 账套代码,
       A.BOOKSET_NAME 账套名称,
       A.START_DATE 账套开始日,
       A.END_DATE 账套结束日,
       C.END_BOOK_DATE 上次跑批结束日,
       CASE WHEN A.END_DATE =  C.END_BOOK_DATE THEN NULL ELSE C.END_BOOK_DATE + 1 END 移植后开始跑批日
  FROM BOK_BOOKSET A,
       (SELECT B.BOOKSET_ID, MAX(B.BOOK_DATE) END_BOOK_DATE
          FROM BOK_BOOKDETAIL_CURRENT B
         GROUP BY B.BOOKSET_ID) C
 WHERE A.BOOKSET_ID = C.BOOKSET_ID;</t>
  </si>
  <si>
    <t>移植后各账套开始跑批的日期</t>
  </si>
  <si>
    <t>手工凭证模板</t>
  </si>
  <si>
    <t>手工凭证-新增保存模板权限</t>
  </si>
  <si>
    <t>01_手工凭证及模板_按钮权限配置.sql</t>
  </si>
  <si>
    <t>新增手工凭证模板菜单及手工凭证菜单路径调整</t>
  </si>
  <si>
    <t>02_手工凭证及模板_菜单配置.sq</t>
  </si>
  <si>
    <t>新增手工凭证模板主表及明细表</t>
  </si>
  <si>
    <t>03_手工凭证模板_新增表.sql</t>
  </si>
  <si>
    <t>新增手工凭证模板新建时使用的序列号</t>
  </si>
  <si>
    <t>04_手工凭证模板_表结构(新增序列号).sql</t>
  </si>
  <si>
    <t>账套参数管理</t>
  </si>
  <si>
    <t>新增数据字典</t>
  </si>
  <si>
    <t>01_账套参数管理_数据字典.sql</t>
  </si>
  <si>
    <t>删除多余得账套参数</t>
  </si>
  <si>
    <t>02_账套参数管理_删除两个多余参数.sql</t>
  </si>
  <si>
    <t>账套参数管理：新增字段【参数类型】</t>
  </si>
  <si>
    <t>03_账套参数管理_表结构变更.sql</t>
  </si>
  <si>
    <t>需确认2.1.6有无新增账套参数</t>
  </si>
  <si>
    <t>账套参数管理：新增字段【参数类型】历史数据初始化</t>
  </si>
  <si>
    <t>04_账套参数管理_更新参数类型.sql</t>
  </si>
  <si>
    <t>资讯行情信息</t>
  </si>
  <si>
    <t>01_资讯行情信息_数据字典.sql</t>
  </si>
  <si>
    <t>菜单新增修改</t>
  </si>
  <si>
    <t>02_资讯行情信息_菜单配置.sql</t>
  </si>
  <si>
    <t>基准汇率行情：新增字段【行情类型、期限】
股票市场行情表结构调整，针对【成交金额】字段的精度问题
【外汇估值信息】增加主键【币种】</t>
  </si>
  <si>
    <t>03_资讯行情信息_表结构变更.sql</t>
  </si>
  <si>
    <t>资产信息</t>
  </si>
  <si>
    <t>菜单相关配置</t>
  </si>
  <si>
    <t>01_资产信息_菜单配置.sql</t>
  </si>
  <si>
    <t>数据字典调整</t>
  </si>
  <si>
    <t>02_资产信息_数据字典.sql</t>
  </si>
  <si>
    <t>03_资产信息_表结构变更.sql</t>
  </si>
  <si>
    <t>接口配置</t>
  </si>
  <si>
    <t>04_资产信息_接口配置.sql</t>
  </si>
  <si>
    <t>历史数据初始化</t>
  </si>
  <si>
    <t>05_资产信息_历史数据初始化.sql</t>
  </si>
  <si>
    <t>市场机构管理页面联动数据字典添加
新增市场机构管理画面</t>
  </si>
  <si>
    <t>01_其他_菜单配置.sql</t>
  </si>
  <si>
    <t>存款类资产类型：新增数据项【03 同业借款】
共通业务类型增加拆借类资产和回购类资产，数据权限授权机构表新增数据时使用
新增数据项【申购赎回确认速度】</t>
  </si>
  <si>
    <t>02_其他_数据字典.sql</t>
  </si>
  <si>
    <t>计划类净值资产转仓：未出划款指令入账问题处理</t>
  </si>
  <si>
    <t>03_其他_指令映射关系.sql</t>
  </si>
  <si>
    <t>单估值版本：初始化日历信息、交易日历信息</t>
  </si>
  <si>
    <t>04_其他_市场日历类型.sql</t>
  </si>
  <si>
    <t>脚本针对单估值版本</t>
  </si>
  <si>
    <t>债券提前交收</t>
  </si>
  <si>
    <t>计税场景配置</t>
  </si>
  <si>
    <t>01_交易所债券提前交收_场景计税调整.sql</t>
  </si>
  <si>
    <t>02_交易所债券提前交收_会计分录调整.sql</t>
  </si>
  <si>
    <t>节假日行权</t>
  </si>
  <si>
    <t>金融产品交易附属表新增【行权状态】【放弃行权日】字</t>
  </si>
  <si>
    <t>02_债券行权改造_表结构变更.sql</t>
  </si>
  <si>
    <t>账套参数表新增字段【参数类型】后对历史数据的初始化</t>
  </si>
  <si>
    <t>01_账套参数配置.sql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</si>
</sst>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indexed="8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0"/>
      <color rgb="FF800080"/>
      <name val="宋体"/>
      <charset val="0"/>
      <scheme val="minor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4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/>
    <xf numFmtId="0" fontId="12" fillId="14" borderId="9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9" fillId="0" borderId="0" applyProtection="0"/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9" fillId="0" borderId="0" applyProtection="0"/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 applyProtection="0"/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0" borderId="6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1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1" xfId="10" applyBorder="1">
      <alignment vertical="center"/>
    </xf>
    <xf numFmtId="0" fontId="7" fillId="0" borderId="1" xfId="10" applyFont="1" applyBorder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常规 2 10" xfId="50"/>
    <cellStyle name="60% - 强调文字颜色 6" xfId="51" builtinId="52"/>
    <cellStyle name="常规 4" xfId="52"/>
    <cellStyle name="常规 2" xfId="53"/>
  </cellStyles>
  <tableStyles count="0" defaultTableStyle="TableStyleMedium2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2</xdr:row>
          <xdr:rowOff>85725</xdr:rowOff>
        </xdr:from>
        <xdr:to>
          <xdr:col>3</xdr:col>
          <xdr:colOff>1152525</xdr:colOff>
          <xdr:row>2</xdr:row>
          <xdr:rowOff>923925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343775" y="12858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3</xdr:row>
          <xdr:rowOff>66675</xdr:rowOff>
        </xdr:from>
        <xdr:to>
          <xdr:col>3</xdr:col>
          <xdr:colOff>1162050</xdr:colOff>
          <xdr:row>3</xdr:row>
          <xdr:rowOff>904875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353300" y="22574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</xdr:row>
          <xdr:rowOff>95250</xdr:rowOff>
        </xdr:from>
        <xdr:to>
          <xdr:col>3</xdr:col>
          <xdr:colOff>1162050</xdr:colOff>
          <xdr:row>1</xdr:row>
          <xdr:rowOff>933450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353300" y="2667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4</xdr:row>
          <xdr:rowOff>76200</xdr:rowOff>
        </xdr:from>
        <xdr:to>
          <xdr:col>3</xdr:col>
          <xdr:colOff>1143000</xdr:colOff>
          <xdr:row>4</xdr:row>
          <xdr:rowOff>914400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334250" y="32575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21" sqref="C21"/>
    </sheetView>
  </sheetViews>
  <sheetFormatPr defaultColWidth="9" defaultRowHeight="13.5" outlineLevelRow="6" outlineLevelCol="3"/>
  <cols>
    <col min="1" max="1" width="6.5" style="1" customWidth="1"/>
    <col min="2" max="2" width="15.375" customWidth="1"/>
    <col min="3" max="3" width="41.125" customWidth="1"/>
    <col min="4" max="4" width="22.125" customWidth="1"/>
  </cols>
  <sheetData>
    <row r="1" spans="1:4">
      <c r="A1" s="19" t="s">
        <v>0</v>
      </c>
      <c r="B1" s="20" t="s">
        <v>1</v>
      </c>
      <c r="C1" s="20" t="s">
        <v>2</v>
      </c>
      <c r="D1" s="20" t="s">
        <v>3</v>
      </c>
    </row>
    <row r="2" spans="1:4">
      <c r="A2" s="12">
        <f t="shared" ref="A2:A7" si="0">ROW()-1</f>
        <v>1</v>
      </c>
      <c r="B2" s="18" t="s">
        <v>4</v>
      </c>
      <c r="C2" s="40" t="s">
        <v>5</v>
      </c>
      <c r="D2" s="18" t="s">
        <v>6</v>
      </c>
    </row>
    <row r="3" spans="1:4">
      <c r="A3" s="12">
        <f t="shared" si="0"/>
        <v>2</v>
      </c>
      <c r="B3" s="9" t="s">
        <v>7</v>
      </c>
      <c r="C3" s="40" t="s">
        <v>8</v>
      </c>
      <c r="D3" s="18" t="s">
        <v>9</v>
      </c>
    </row>
    <row r="4" spans="1:4">
      <c r="A4" s="12">
        <f t="shared" si="0"/>
        <v>3</v>
      </c>
      <c r="B4" s="9"/>
      <c r="C4" s="40" t="s">
        <v>10</v>
      </c>
      <c r="D4" s="18" t="s">
        <v>9</v>
      </c>
    </row>
    <row r="5" spans="1:4">
      <c r="A5" s="12">
        <f t="shared" si="0"/>
        <v>4</v>
      </c>
      <c r="B5" s="9"/>
      <c r="C5" s="40" t="s">
        <v>11</v>
      </c>
      <c r="D5" s="18" t="s">
        <v>9</v>
      </c>
    </row>
    <row r="6" spans="1:4">
      <c r="A6" s="12">
        <f t="shared" si="0"/>
        <v>5</v>
      </c>
      <c r="B6" s="18" t="s">
        <v>12</v>
      </c>
      <c r="C6" s="41" t="s">
        <v>13</v>
      </c>
      <c r="D6" s="18" t="s">
        <v>14</v>
      </c>
    </row>
    <row r="7" spans="1:4">
      <c r="A7" s="12">
        <f t="shared" si="0"/>
        <v>6</v>
      </c>
      <c r="B7" s="18" t="s">
        <v>15</v>
      </c>
      <c r="C7" s="41" t="s">
        <v>16</v>
      </c>
      <c r="D7" s="18" t="s">
        <v>17</v>
      </c>
    </row>
  </sheetData>
  <mergeCells count="1">
    <mergeCell ref="B3:B5"/>
  </mergeCells>
  <hyperlinks>
    <hyperlink ref="C2" location="【01_资产减值】功能改造数据脚本!A1" display="【01_资产减值】功能改造数据脚本"/>
    <hyperlink ref="C3" location="【02_新估值指引改造】01_功能改造数据脚本!A1" display="【02_新估值指引改造】01_功能改造数据脚本"/>
    <hyperlink ref="C4" location="【02_新估值指引改造】02_数据移植转换!A1" display="【02_新估值指引改造】02_数据移植转换"/>
    <hyperlink ref="C5" location="【02_新估值指引改造】辅助查询!A1" display="【02_新估值指引改造】辅助查询"/>
    <hyperlink ref="C6" location="【03_VAS3.0】功能改造数据脚本!A1" display="【03_VAS3.0】功能改造数据脚本"/>
    <hyperlink ref="C7" location="【03_VAS3.0】功能改造数据脚本!A1" display="【04_其他】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opLeftCell="A34" workbookViewId="0">
      <selection activeCell="A78" sqref="A78"/>
    </sheetView>
  </sheetViews>
  <sheetFormatPr defaultColWidth="9" defaultRowHeight="13.5" outlineLevelCol="3"/>
  <cols>
    <col min="1" max="1" width="48.25" customWidth="1"/>
    <col min="2" max="2" width="11.5" customWidth="1"/>
    <col min="3" max="3" width="52.375" customWidth="1"/>
    <col min="4" max="4" width="109.875" customWidth="1"/>
  </cols>
  <sheetData>
    <row r="1" spans="1:3">
      <c r="A1" s="20" t="s">
        <v>18</v>
      </c>
      <c r="B1" s="20"/>
      <c r="C1" s="20"/>
    </row>
    <row r="2" spans="1:3">
      <c r="A2" s="20" t="s">
        <v>19</v>
      </c>
      <c r="B2" s="20" t="s">
        <v>20</v>
      </c>
      <c r="C2" s="20" t="s">
        <v>21</v>
      </c>
    </row>
    <row r="3" spans="1:4">
      <c r="A3" s="18" t="s">
        <v>22</v>
      </c>
      <c r="B3" s="18" t="s">
        <v>23</v>
      </c>
      <c r="C3" s="11" t="s">
        <v>24</v>
      </c>
      <c r="D3" t="str">
        <f>CONCATENATE("@",$A$1,A3,C3,";")</f>
        <v>@G:\兆尹工作\SVN\资管平台3.0产品\01.项目策划\合并估值核算升级\数据库脚本01_资产减值\升级脚本\base工作流配置.sql;</v>
      </c>
    </row>
    <row r="4" spans="1:4">
      <c r="A4" s="18" t="s">
        <v>22</v>
      </c>
      <c r="B4" s="18" t="s">
        <v>23</v>
      </c>
      <c r="C4" s="36" t="s">
        <v>25</v>
      </c>
      <c r="D4" t="str">
        <f>CONCATENATE("@",$A$1,A4,C4,";")</f>
        <v>@G:\兆尹工作\SVN\资管平台3.0产品\01.项目策划\合并估值核算升级\数据库脚本01_资产减值\升级脚本\base目录和页面.sql;</v>
      </c>
    </row>
    <row r="5" spans="1:4">
      <c r="A5" s="18" t="s">
        <v>22</v>
      </c>
      <c r="B5" s="18" t="s">
        <v>23</v>
      </c>
      <c r="C5" s="36" t="s">
        <v>26</v>
      </c>
      <c r="D5" t="str">
        <f>CONCATENATE("@",$A$1,A5,C5,";")</f>
        <v>@G:\兆尹工作\SVN\资管平台3.0产品\01.项目策划\合并估值核算升级\数据库脚本01_资产减值\升级脚本\base批处理配置(BASE).sql;</v>
      </c>
    </row>
    <row r="6" spans="1:4">
      <c r="A6" s="18" t="s">
        <v>22</v>
      </c>
      <c r="B6" s="18" t="s">
        <v>23</v>
      </c>
      <c r="C6" s="11" t="s">
        <v>27</v>
      </c>
      <c r="D6" t="str">
        <f>CONCATENATE("@",$A$1,A6,C6,";")</f>
        <v>@G:\兆尹工作\SVN\资管平台3.0产品\01.项目策划\合并估值核算升级\数据库脚本01_资产减值\升级脚本\base系统参数与数据字典.sql;</v>
      </c>
    </row>
    <row r="7" spans="1:4">
      <c r="A7" s="18" t="s">
        <v>28</v>
      </c>
      <c r="B7" s="18" t="s">
        <v>29</v>
      </c>
      <c r="C7" s="11" t="s">
        <v>30</v>
      </c>
      <c r="D7" t="str">
        <f>CONCATENATE("@",$A$1,A7,C7,";")</f>
        <v>@G:\兆尹工作\SVN\资管平台3.0产品\01.项目策划\合并估值核算升级\数据库脚本01_资产减值\升级脚本\mast01_sppi表结构变更.sql;</v>
      </c>
    </row>
    <row r="8" spans="1:4">
      <c r="A8" s="18" t="s">
        <v>28</v>
      </c>
      <c r="B8" s="18" t="s">
        <v>29</v>
      </c>
      <c r="C8" s="35" t="s">
        <v>31</v>
      </c>
      <c r="D8" t="str">
        <f>CONCATENATE("@",$A$1,A8,C8,";")</f>
        <v>@G:\兆尹工作\SVN\资管平台3.0产品\01.项目策划\合并估值核算升级\数据库脚本01_资产减值\升级脚本\mast01_减值相关表结构变更.sql;</v>
      </c>
    </row>
    <row r="9" spans="1:4">
      <c r="A9" s="18" t="s">
        <v>28</v>
      </c>
      <c r="B9" s="18" t="s">
        <v>29</v>
      </c>
      <c r="C9" s="11" t="s">
        <v>32</v>
      </c>
      <c r="D9" t="str">
        <f>CONCATENATE("@",$A$1,A9,C9,";")</f>
        <v>@G:\兆尹工作\SVN\资管平台3.0产品\01.项目策划\合并估值核算升级\数据库脚本01_资产减值\升级脚本\mast02_索引变更.sql;</v>
      </c>
    </row>
    <row r="10" spans="1:4">
      <c r="A10" s="18" t="s">
        <v>28</v>
      </c>
      <c r="B10" s="18" t="s">
        <v>29</v>
      </c>
      <c r="C10" s="11" t="s">
        <v>33</v>
      </c>
      <c r="D10" t="str">
        <f>CONCATENATE("@",$A$1,A10,C10,";")</f>
        <v>@G:\兆尹工作\SVN\资管平台3.0产品\01.项目策划\合并估值核算升级\数据库脚本01_资产减值\升级脚本\mast03_估值方案明细.sql;</v>
      </c>
    </row>
    <row r="11" spans="1:4">
      <c r="A11" s="18" t="s">
        <v>28</v>
      </c>
      <c r="B11" s="18" t="s">
        <v>29</v>
      </c>
      <c r="C11" s="11" t="s">
        <v>34</v>
      </c>
      <c r="D11" t="str">
        <f>CONCATENATE("@",$A$1,A11,C11,";")</f>
        <v>@G:\兆尹工作\SVN\资管平台3.0产品\01.项目策划\合并估值核算升级\数据库脚本01_资产减值\升级脚本\mast03_会计场景配置.sql;</v>
      </c>
    </row>
    <row r="12" spans="1:4">
      <c r="A12" s="18" t="s">
        <v>28</v>
      </c>
      <c r="B12" s="18" t="s">
        <v>29</v>
      </c>
      <c r="C12" s="11" t="s">
        <v>35</v>
      </c>
      <c r="D12" t="str">
        <f>CONCATENATE("@",$A$1,A12,C12,";")</f>
        <v>@G:\兆尹工作\SVN\资管平台3.0产品\01.项目策划\合并估值核算升级\数据库脚本01_资产减值\升级脚本\mast03_科目调整.sql;</v>
      </c>
    </row>
    <row r="13" spans="1:4">
      <c r="A13" s="18" t="s">
        <v>28</v>
      </c>
      <c r="B13" s="18" t="s">
        <v>29</v>
      </c>
      <c r="C13" s="11" t="s">
        <v>36</v>
      </c>
      <c r="D13" t="str">
        <f>CONCATENATE("@",$A$1,A13,C13,";")</f>
        <v>@G:\兆尹工作\SVN\资管平台3.0产品\01.项目策划\合并估值核算升级\数据库脚本01_资产减值\升级脚本\mast03_科目性质调整.sql;</v>
      </c>
    </row>
    <row r="14" spans="1:4">
      <c r="A14" s="18" t="s">
        <v>28</v>
      </c>
      <c r="B14" s="18" t="s">
        <v>29</v>
      </c>
      <c r="C14" s="11" t="s">
        <v>37</v>
      </c>
      <c r="D14" t="str">
        <f>CONCATENATE("@",$A$1,A14,C14,";")</f>
        <v>@G:\兆尹工作\SVN\资管平台3.0产品\01.项目策划\合并估值核算升级\数据库脚本01_资产减值\升级脚本\mast03_科目性质分组配置.sql;</v>
      </c>
    </row>
    <row r="15" spans="1:4">
      <c r="A15" s="18" t="s">
        <v>28</v>
      </c>
      <c r="B15" s="18" t="s">
        <v>29</v>
      </c>
      <c r="C15" s="11" t="s">
        <v>38</v>
      </c>
      <c r="D15" t="str">
        <f>CONCATENATE("@",$A$1,A15,C15,";")</f>
        <v>@G:\兆尹工作\SVN\资管平台3.0产品\01.项目策划\合并估值核算升级\数据库脚本01_资产减值\升级脚本\mast03_批处理配置(MAST).sql;</v>
      </c>
    </row>
    <row r="16" spans="1:4">
      <c r="A16" s="18" t="s">
        <v>28</v>
      </c>
      <c r="B16" s="18" t="s">
        <v>29</v>
      </c>
      <c r="C16" s="11" t="s">
        <v>39</v>
      </c>
      <c r="D16" t="str">
        <f>CONCATENATE("@",$A$1,A16,C16,";")</f>
        <v>@G:\兆尹工作\SVN\资管平台3.0产品\01.项目策划\合并估值核算升级\数据库脚本01_资产减值\升级脚本\mast03_三表配置.sql;</v>
      </c>
    </row>
    <row r="17" spans="1:4">
      <c r="A17" s="18" t="s">
        <v>28</v>
      </c>
      <c r="B17" s="18" t="s">
        <v>29</v>
      </c>
      <c r="C17" s="11" t="s">
        <v>40</v>
      </c>
      <c r="D17" t="str">
        <f>CONCATENATE("@",$A$1,A17,C17,";")</f>
        <v>@G:\兆尹工作\SVN\资管平台3.0产品\01.项目策划\合并估值核算升级\数据库脚本01_资产减值\升级脚本\mast03_增值税计税场景配置.sql;</v>
      </c>
    </row>
    <row r="18" spans="1:4">
      <c r="A18" s="18" t="s">
        <v>28</v>
      </c>
      <c r="B18" s="18" t="s">
        <v>29</v>
      </c>
      <c r="C18" s="11" t="s">
        <v>41</v>
      </c>
      <c r="D18" t="str">
        <f>CONCATENATE("@",$A$1,A18,C18,";")</f>
        <v>@G:\兆尹工作\SVN\资管平台3.0产品\01.项目策划\合并估值核算升级\数据库脚本01_资产减值\升级脚本\mast03_账套参数.sql;</v>
      </c>
    </row>
    <row r="19" spans="1:4">
      <c r="A19" s="18" t="s">
        <v>28</v>
      </c>
      <c r="B19" s="18" t="s">
        <v>29</v>
      </c>
      <c r="C19" s="11" t="s">
        <v>42</v>
      </c>
      <c r="D19" t="str">
        <f>CONCATENATE("@",$A$1,A19,C19,";")</f>
        <v>@G:\兆尹工作\SVN\资管平台3.0产品\01.项目策划\合并估值核算升级\数据库脚本01_资产减值\升级脚本\mast03_指令映射关系.sql;</v>
      </c>
    </row>
    <row r="20" spans="1:4">
      <c r="A20" s="18" t="s">
        <v>28</v>
      </c>
      <c r="B20" s="18" t="s">
        <v>29</v>
      </c>
      <c r="C20" s="11" t="s">
        <v>43</v>
      </c>
      <c r="D20" t="str">
        <f>CONCATENATE("@",$A$1,A20,C20,";")</f>
        <v>@G:\兆尹工作\SVN\资管平台3.0产品\01.项目策划\合并估值核算升级\数据库脚本01_资产减值\升级脚本\mast03_其他配置.sql;</v>
      </c>
    </row>
    <row r="21" spans="1:4">
      <c r="A21" s="18" t="s">
        <v>28</v>
      </c>
      <c r="B21" s="18" t="s">
        <v>29</v>
      </c>
      <c r="C21" s="11" t="s">
        <v>44</v>
      </c>
      <c r="D21" t="str">
        <f>CONCATENATE("@",$A$1,A21,C21,";")</f>
        <v>@G:\兆尹工作\SVN\资管平台3.0产品\01.项目策划\合并估值核算升级\数据库脚本01_资产减值\升级脚本\mast03_计划类资产变更投资目的.sql;</v>
      </c>
    </row>
    <row r="22" spans="1:4">
      <c r="A22" s="18" t="s">
        <v>28</v>
      </c>
      <c r="B22" s="18" t="s">
        <v>29</v>
      </c>
      <c r="C22" s="11" t="s">
        <v>45</v>
      </c>
      <c r="D22" t="str">
        <f>CONCATENATE("@",$A$1,A22,C22,";")</f>
        <v>@G:\兆尹工作\SVN\资管平台3.0产品\01.项目策划\合并估值核算升级\数据库脚本01_资产减值\升级脚本\mast04_计划类收益型资产投资目的变更_账务明细代码调整.sql;</v>
      </c>
    </row>
    <row r="23" spans="1:4">
      <c r="A23" s="18" t="s">
        <v>46</v>
      </c>
      <c r="B23" s="18" t="s">
        <v>23</v>
      </c>
      <c r="C23" s="23" t="s">
        <v>47</v>
      </c>
      <c r="D23" t="str">
        <f>CONCATENATE("@",$A$1,A23,C23,";")</f>
        <v>@G:\兆尹工作\SVN\资管平台3.0产品\01.项目策划\合并估值核算升级\数据库脚本02_新估值指引改造\1.升级脚本\科目体系调整02_增值税计提_基础科目性质分组_数据字典.sql;</v>
      </c>
    </row>
    <row r="24" spans="1:4">
      <c r="A24" s="18" t="s">
        <v>46</v>
      </c>
      <c r="B24" s="18" t="s">
        <v>23</v>
      </c>
      <c r="C24" s="23" t="s">
        <v>48</v>
      </c>
      <c r="D24" t="str">
        <f>CONCATENATE("@",$A$1,A24,C24,";")</f>
        <v>@G:\兆尹工作\SVN\资管平台3.0产品\01.项目策划\合并估值核算升级\数据库脚本02_新估值指引改造\1.升级脚本\科目体系调整01_其他债权投资拆分_数据字典.sql;</v>
      </c>
    </row>
    <row r="25" spans="1:4">
      <c r="A25" s="18" t="s">
        <v>49</v>
      </c>
      <c r="B25" s="18" t="s">
        <v>23</v>
      </c>
      <c r="C25" s="23" t="s">
        <v>50</v>
      </c>
      <c r="D25" t="str">
        <f>CONCATENATE("@",$A$1,A25,C25,";")</f>
        <v>@G:\兆尹工作\SVN\资管平台3.0产品\01.项目策划\合并估值核算升级\数据库脚本02_新估值指引改造\1.升级脚本\其他功能调整脚本01_财务报表_菜单配置.sql;</v>
      </c>
    </row>
    <row r="26" spans="1:4">
      <c r="A26" s="18" t="s">
        <v>49</v>
      </c>
      <c r="B26" s="18" t="s">
        <v>23</v>
      </c>
      <c r="C26" s="23" t="s">
        <v>51</v>
      </c>
      <c r="D26" t="str">
        <f>CONCATENATE("@",$A$1,A26,C26,";")</f>
        <v>@G:\兆尹工作\SVN\资管平台3.0产品\01.项目策划\合并估值核算升级\数据库脚本02_新估值指引改造\1.升级脚本\其他功能调整脚本01_财务报表_批处理配置.sql;</v>
      </c>
    </row>
    <row r="27" spans="1:4">
      <c r="A27" s="18" t="s">
        <v>49</v>
      </c>
      <c r="B27" s="18" t="s">
        <v>23</v>
      </c>
      <c r="C27" s="23" t="s">
        <v>52</v>
      </c>
      <c r="D27" t="str">
        <f>CONCATENATE("@",$A$1,A27,C27,";")</f>
        <v>@G:\兆尹工作\SVN\资管平台3.0产品\01.项目策划\合并估值核算升级\数据库脚本02_新估值指引改造\1.升级脚本\其他功能调整脚本01_财务报表_数据字典.sql;</v>
      </c>
    </row>
    <row r="28" spans="1:4">
      <c r="A28" s="18" t="s">
        <v>46</v>
      </c>
      <c r="B28" s="18" t="s">
        <v>23</v>
      </c>
      <c r="C28" s="5" t="s">
        <v>53</v>
      </c>
      <c r="D28" t="str">
        <f>CONCATENATE("@",$A$1,A28,C28,";")</f>
        <v>@G:\兆尹工作\SVN\资管平台3.0产品\01.项目策划\合并估值核算升级\数据库脚本02_新估值指引改造\1.升级脚本\科目体系调整03_净值型产品认申购交易_数据字典.sql;</v>
      </c>
    </row>
    <row r="29" spans="1:4">
      <c r="A29" s="18" t="s">
        <v>54</v>
      </c>
      <c r="B29" s="18" t="s">
        <v>23</v>
      </c>
      <c r="C29" s="23" t="s">
        <v>55</v>
      </c>
      <c r="D29" t="str">
        <f>CONCATENATE("@",$A$1,A29,C29,";")</f>
        <v>@G:\兆尹工作\SVN\资管平台3.0产品\01.项目策划\合并估值核算升级\数据库脚本02_新估值指引改造\1.升级脚本\框架升级20201225_框架批处理任务表增加是否批处理启动执行对象字段.sql;</v>
      </c>
    </row>
    <row r="30" spans="1:4">
      <c r="A30" s="18" t="s">
        <v>54</v>
      </c>
      <c r="B30" s="18" t="s">
        <v>23</v>
      </c>
      <c r="C30" s="23" t="s">
        <v>56</v>
      </c>
      <c r="D30" t="str">
        <f>CONCATENATE("@",$A$1,A30,C30,";")</f>
        <v>@G:\兆尹工作\SVN\资管平台3.0产品\01.项目策划\合并估值核算升级\数据库脚本02_新估值指引改造\1.升级脚本\框架升级20201225_框架中增加用户扩展表.sql;</v>
      </c>
    </row>
    <row r="31" spans="1:4">
      <c r="A31" s="18" t="s">
        <v>54</v>
      </c>
      <c r="B31" s="18" t="s">
        <v>23</v>
      </c>
      <c r="C31" s="23" t="s">
        <v>57</v>
      </c>
      <c r="D31" t="str">
        <f>CONCATENATE("@",$A$1,A31,C31,";")</f>
        <v>@G:\兆尹工作\SVN\资管平台3.0产品\01.项目策划\合并估值核算升级\数据库脚本02_新估值指引改造\1.升级脚本\框架升级20210112_框架用户扩展表增加是否显示交易员ID字段.sql;</v>
      </c>
    </row>
    <row r="32" spans="1:4">
      <c r="A32" s="18" t="s">
        <v>49</v>
      </c>
      <c r="B32" s="18" t="s">
        <v>23</v>
      </c>
      <c r="C32" s="27" t="s">
        <v>58</v>
      </c>
      <c r="D32" t="str">
        <f>CONCATENATE("@",$A$1,A32,C32,";")</f>
        <v>@G:\兆尹工作\SVN\资管平台3.0产品\01.项目策划\合并估值核算升级\数据库脚本02_新估值指引改造\1.升级脚本\其他功能调整脚本02_资产减值_菜单配置.sql;</v>
      </c>
    </row>
    <row r="33" spans="1:4">
      <c r="A33" s="18" t="s">
        <v>49</v>
      </c>
      <c r="B33" s="18" t="s">
        <v>23</v>
      </c>
      <c r="C33" s="27" t="s">
        <v>59</v>
      </c>
      <c r="D33" t="str">
        <f>CONCATENATE("@",$A$1,A33,C33,";")</f>
        <v>@G:\兆尹工作\SVN\资管平台3.0产品\01.项目策划\合并估值核算升级\数据库脚本02_新估值指引改造\1.升级脚本\其他功能调整脚本02_资产减值_数据字典.sql;</v>
      </c>
    </row>
    <row r="34" spans="1:4">
      <c r="A34" s="18" t="s">
        <v>49</v>
      </c>
      <c r="B34" s="18" t="s">
        <v>23</v>
      </c>
      <c r="C34" s="27" t="s">
        <v>60</v>
      </c>
      <c r="D34" t="str">
        <f>CONCATENATE("@",$A$1,A34,C34,";")</f>
        <v>@G:\兆尹工作\SVN\资管平台3.0产品\01.项目策划\合并估值核算升级\数据库脚本02_新估值指引改造\1.升级脚本\其他功能调整脚本03_其他_菜单配置.sql;</v>
      </c>
    </row>
    <row r="35" spans="1:4">
      <c r="A35" s="18" t="s">
        <v>49</v>
      </c>
      <c r="B35" s="18" t="s">
        <v>23</v>
      </c>
      <c r="C35" s="27" t="s">
        <v>61</v>
      </c>
      <c r="D35" t="str">
        <f>CONCATENATE("@",$A$1,A35,C35,";")</f>
        <v>@G:\兆尹工作\SVN\资管平台3.0产品\01.项目策划\合并估值核算升级\数据库脚本02_新估值指引改造\1.升级脚本\其他功能调整脚本03_其他_批处理配置.sql;</v>
      </c>
    </row>
    <row r="36" spans="1:4">
      <c r="A36" s="18" t="s">
        <v>49</v>
      </c>
      <c r="B36" s="18" t="s">
        <v>23</v>
      </c>
      <c r="C36" s="27" t="s">
        <v>62</v>
      </c>
      <c r="D36" t="str">
        <f>CONCATENATE("@",$A$1,A36,C36,";")</f>
        <v>@G:\兆尹工作\SVN\资管平台3.0产品\01.项目策划\合并估值核算升级\数据库脚本02_新估值指引改造\1.升级脚本\其他功能调整脚本03_其他_数据字典.sql;</v>
      </c>
    </row>
    <row r="37" spans="1:4">
      <c r="A37" s="18" t="s">
        <v>63</v>
      </c>
      <c r="B37" s="18" t="s">
        <v>23</v>
      </c>
      <c r="C37" s="27" t="s">
        <v>64</v>
      </c>
      <c r="D37" t="str">
        <f>CONCATENATE("@",$A$1,A37,C37,";")</f>
        <v>@G:\兆尹工作\SVN\资管平台3.0产品\01.项目策划\合并估值核算升级\数据库脚本02_新估值指引改造\1.升级脚本\运维辅助工具运维辅助工具_菜单配置.sql;</v>
      </c>
    </row>
    <row r="38" spans="1:4">
      <c r="A38" s="18" t="s">
        <v>63</v>
      </c>
      <c r="B38" s="18" t="s">
        <v>23</v>
      </c>
      <c r="C38" s="27" t="s">
        <v>65</v>
      </c>
      <c r="D38" t="str">
        <f>CONCATENATE("@",$A$1,A38,C38,";")</f>
        <v>@G:\兆尹工作\SVN\资管平台3.0产品\01.项目策划\合并估值核算升级\数据库脚本02_新估值指引改造\1.升级脚本\运维辅助工具运维辅助工具_批处理配置.sql;</v>
      </c>
    </row>
    <row r="39" spans="1:4">
      <c r="A39" s="18" t="s">
        <v>63</v>
      </c>
      <c r="B39" s="18" t="s">
        <v>23</v>
      </c>
      <c r="C39" s="27" t="s">
        <v>66</v>
      </c>
      <c r="D39" t="str">
        <f>CONCATENATE("@",$A$1,A39,C39,";")</f>
        <v>@G:\兆尹工作\SVN\资管平台3.0产品\01.项目策划\合并估值核算升级\数据库脚本02_新估值指引改造\1.升级脚本\运维辅助工具运维辅助工具_数据字典.sql;</v>
      </c>
    </row>
    <row r="40" spans="1:4">
      <c r="A40" s="18" t="s">
        <v>46</v>
      </c>
      <c r="B40" s="18" t="s">
        <v>29</v>
      </c>
      <c r="C40" s="23" t="s">
        <v>67</v>
      </c>
      <c r="D40" t="str">
        <f>CONCATENATE("@",$A$1,A40,C40,";")</f>
        <v>@G:\兆尹工作\SVN\资管平台3.0产品\01.项目策划\合并估值核算升级\数据库脚本02_新估值指引改造\1.升级脚本\科目体系调整01_科目名称固化.sql;</v>
      </c>
    </row>
    <row r="41" spans="1:4">
      <c r="A41" s="18" t="s">
        <v>68</v>
      </c>
      <c r="B41" s="18" t="s">
        <v>29</v>
      </c>
      <c r="C41" s="11" t="s">
        <v>69</v>
      </c>
      <c r="D41" t="str">
        <f>CONCATENATE("@",$A$1,A41,C41,";")</f>
        <v>@G:\兆尹工作\SVN\资管平台3.0产品\01.项目策划\合并估值核算升级\数据库脚本02_新估值指引改造\1.升级脚本\会计分录配置脚本(全量)1.科目表.sql;</v>
      </c>
    </row>
    <row r="42" spans="1:4">
      <c r="A42" s="18" t="s">
        <v>68</v>
      </c>
      <c r="B42" s="18" t="s">
        <v>29</v>
      </c>
      <c r="C42" s="11" t="s">
        <v>70</v>
      </c>
      <c r="D42" t="str">
        <f>CONCATENATE("@",$A$1,A42,C42,";")</f>
        <v>@G:\兆尹工作\SVN\资管平台3.0产品\01.项目策划\合并估值核算升级\数据库脚本02_新估值指引改造\1.升级脚本\会计分录配置脚本(全量)2.科目表-银行.sql;</v>
      </c>
    </row>
    <row r="43" spans="1:4">
      <c r="A43" s="18" t="s">
        <v>68</v>
      </c>
      <c r="B43" s="18" t="s">
        <v>29</v>
      </c>
      <c r="C43" s="11" t="s">
        <v>71</v>
      </c>
      <c r="D43" t="str">
        <f>CONCATENATE("@",$A$1,A43,C43,";")</f>
        <v>@G:\兆尹工作\SVN\资管平台3.0产品\01.项目策划\合并估值核算升级\数据库脚本02_新估值指引改造\1.升级脚本\会计分录配置脚本(全量)3.科目性质表-企业.sql;</v>
      </c>
    </row>
    <row r="44" spans="1:4">
      <c r="A44" s="18" t="s">
        <v>68</v>
      </c>
      <c r="B44" s="18" t="s">
        <v>29</v>
      </c>
      <c r="C44" s="11" t="s">
        <v>72</v>
      </c>
      <c r="D44" t="str">
        <f>CONCATENATE("@",$A$1,A44,C44,";")</f>
        <v>@G:\兆尹工作\SVN\资管平台3.0产品\01.项目策划\合并估值核算升级\数据库脚本02_新估值指引改造\1.升级脚本\会计分录配置脚本(全量)4.会计场景.sql;</v>
      </c>
    </row>
    <row r="45" spans="1:4">
      <c r="A45" s="18" t="s">
        <v>68</v>
      </c>
      <c r="B45" s="18" t="s">
        <v>29</v>
      </c>
      <c r="C45" s="23" t="s">
        <v>73</v>
      </c>
      <c r="D45" t="str">
        <f>CONCATENATE("@",$A$1,A45,C45,";")</f>
        <v>@G:\兆尹工作\SVN\资管平台3.0产品\01.项目策划\合并估值核算升级\数据库脚本02_新估值指引改造\1.升级脚本\会计分录配置脚本(全量)5.会计元素.sql;</v>
      </c>
    </row>
    <row r="46" spans="1:4">
      <c r="A46" s="18" t="s">
        <v>68</v>
      </c>
      <c r="B46" s="18" t="s">
        <v>29</v>
      </c>
      <c r="C46" s="23" t="s">
        <v>74</v>
      </c>
      <c r="D46" t="str">
        <f>CONCATENATE("@",$A$1,A46,C46,";")</f>
        <v>@G:\兆尹工作\SVN\资管平台3.0产品\01.项目策划\合并估值核算升级\数据库脚本02_新估值指引改造\1.升级脚本\会计分录配置脚本(全量)6.场景分支配置（理财账）.sql;</v>
      </c>
    </row>
    <row r="47" spans="1:4">
      <c r="A47" s="18" t="s">
        <v>68</v>
      </c>
      <c r="B47" s="18" t="s">
        <v>29</v>
      </c>
      <c r="C47" s="23" t="s">
        <v>75</v>
      </c>
      <c r="D47" t="str">
        <f>CONCATENATE("@",$A$1,A47,C47,";")</f>
        <v>@G:\兆尹工作\SVN\资管平台3.0产品\01.项目策划\合并估值核算升级\数据库脚本02_新估值指引改造\1.升级脚本\会计分录配置脚本(全量)7.场景科目关系（理财账）.sql;</v>
      </c>
    </row>
    <row r="48" spans="1:4">
      <c r="A48" s="18" t="s">
        <v>68</v>
      </c>
      <c r="B48" s="18" t="s">
        <v>29</v>
      </c>
      <c r="C48" s="23" t="s">
        <v>76</v>
      </c>
      <c r="D48" t="str">
        <f>CONCATENATE("@",$A$1,A48,C48,";")</f>
        <v>@G:\兆尹工作\SVN\资管平台3.0产品\01.项目策划\合并估值核算升级\数据库脚本02_新估值指引改造\1.升级脚本\会计分录配置脚本(全量)99.对3、4账套模板的一些处理.sql;</v>
      </c>
    </row>
    <row r="49" spans="1:4">
      <c r="A49" s="18" t="s">
        <v>46</v>
      </c>
      <c r="B49" s="18" t="s">
        <v>29</v>
      </c>
      <c r="C49" s="23" t="s">
        <v>77</v>
      </c>
      <c r="D49" t="str">
        <f>CONCATENATE("@",$A$1,A49,C49,";")</f>
        <v>@G:\兆尹工作\SVN\资管平台3.0产品\01.项目策划\合并估值核算升级\数据库脚本02_新估值指引改造\1.升级脚本\科目体系调整05_增值税计提_基础科目性质分组.sql;</v>
      </c>
    </row>
    <row r="50" spans="1:4">
      <c r="A50" s="18" t="s">
        <v>46</v>
      </c>
      <c r="B50" s="18" t="s">
        <v>29</v>
      </c>
      <c r="C50" s="23" t="s">
        <v>78</v>
      </c>
      <c r="D50" t="str">
        <f>CONCATENATE("@",$A$1,A50,C50,";")</f>
        <v>@G:\兆尹工作\SVN\资管平台3.0产品\01.项目策划\合并估值核算升级\数据库脚本02_新估值指引改造\1.升级脚本\科目体系调整06_几许按照资管新规调整股票科目出账.sql;</v>
      </c>
    </row>
    <row r="51" spans="1:4">
      <c r="A51" s="18" t="s">
        <v>46</v>
      </c>
      <c r="B51" s="18" t="s">
        <v>29</v>
      </c>
      <c r="C51" s="23" t="s">
        <v>79</v>
      </c>
      <c r="D51" t="str">
        <f>CONCATENATE("@",$A$1,A51,C51,";")</f>
        <v>@G:\兆尹工作\SVN\资管平台3.0产品\01.项目策划\合并估值核算升级\数据库脚本02_新估值指引改造\1.升级脚本\科目体系调整07_科目体系调整_基础科目性质调整.sql;</v>
      </c>
    </row>
    <row r="52" spans="1:4">
      <c r="A52" s="18" t="s">
        <v>46</v>
      </c>
      <c r="B52" s="18" t="s">
        <v>29</v>
      </c>
      <c r="C52" s="23" t="s">
        <v>80</v>
      </c>
      <c r="D52" t="str">
        <f>CONCATENATE("@",$A$1,A52,C52,";")</f>
        <v>@G:\兆尹工作\SVN\资管平台3.0产品\01.项目策划\合并估值核算升级\数据库脚本02_新估值指引改造\1.升级脚本\科目体系调整08_科目体系调整_账务明细代码更新.sql;</v>
      </c>
    </row>
    <row r="53" spans="1:4">
      <c r="A53" s="18" t="s">
        <v>46</v>
      </c>
      <c r="B53" s="18" t="s">
        <v>29</v>
      </c>
      <c r="C53" s="23" t="s">
        <v>81</v>
      </c>
      <c r="D53" t="str">
        <f>CONCATENATE("@",$A$1,A53,C53,";")</f>
        <v>@G:\兆尹工作\SVN\资管平台3.0产品\01.项目策划\合并估值核算升级\数据库脚本02_新估值指引改造\1.升级脚本\科目体系调整09.业务明细科目_四级科目名称更新.sql;</v>
      </c>
    </row>
    <row r="54" spans="1:4">
      <c r="A54" s="18" t="s">
        <v>46</v>
      </c>
      <c r="B54" s="18" t="s">
        <v>29</v>
      </c>
      <c r="C54" s="27" t="s">
        <v>82</v>
      </c>
      <c r="D54" t="str">
        <f>CONCATENATE("@",$A$1,A54,C54,";")</f>
        <v>@G:\兆尹工作\SVN\资管平台3.0产品\01.项目策划\合并估值核算升级\数据库脚本02_新估值指引改造\1.升级脚本\科目体系调整10_科目余额汇总_新增表.sql;</v>
      </c>
    </row>
    <row r="55" spans="1:4">
      <c r="A55" s="18" t="s">
        <v>46</v>
      </c>
      <c r="B55" s="18" t="s">
        <v>29</v>
      </c>
      <c r="C55" s="23" t="s">
        <v>83</v>
      </c>
      <c r="D55" t="str">
        <f>CONCATENATE("@",$A$1,A55,C55,";")</f>
        <v>@G:\兆尹工作\SVN\资管平台3.0产品\01.项目策划\合并估值核算升级\数据库脚本02_新估值指引改造\1.升级脚本\科目体系调整02_其他债权投资拆分_表结构变更.sql;</v>
      </c>
    </row>
    <row r="56" spans="1:4">
      <c r="A56" s="18" t="s">
        <v>46</v>
      </c>
      <c r="B56" s="18" t="s">
        <v>29</v>
      </c>
      <c r="C56" s="23" t="s">
        <v>84</v>
      </c>
      <c r="D56" t="str">
        <f>CONCATENATE("@",$A$1,A56,C56,";")</f>
        <v>@G:\兆尹工作\SVN\资管平台3.0产品\01.项目策划\合并估值核算升级\数据库脚本02_新估值指引改造\1.升级脚本\科目体系调整03_其他债权投资拆分_指令映射关系配置.sql;</v>
      </c>
    </row>
    <row r="57" spans="1:4">
      <c r="A57" s="18" t="s">
        <v>46</v>
      </c>
      <c r="B57" s="18" t="s">
        <v>29</v>
      </c>
      <c r="C57" s="23" t="s">
        <v>85</v>
      </c>
      <c r="D57" t="str">
        <f>CONCATENATE("@",$A$1,A57,C57,";")</f>
        <v>@G:\兆尹工作\SVN\资管平台3.0产品\01.项目策划\合并估值核算升级\数据库脚本02_新估值指引改造\1.升级脚本\科目体系调整03_其他债权投资拆分_接口配置.sql;</v>
      </c>
    </row>
    <row r="58" spans="1:4">
      <c r="A58" s="18" t="s">
        <v>46</v>
      </c>
      <c r="B58" s="18" t="s">
        <v>29</v>
      </c>
      <c r="C58" s="23" t="s">
        <v>86</v>
      </c>
      <c r="D58" t="str">
        <f>CONCATENATE("@",$A$1,A58,C58,";")</f>
        <v>@G:\兆尹工作\SVN\资管平台3.0产品\01.项目策划\合并估值核算升级\数据库脚本02_新估值指引改造\1.升级脚本\科目体系调整03_其他债权投资拆分_价税分离配.sql;</v>
      </c>
    </row>
    <row r="59" spans="1:4">
      <c r="A59" s="18" t="s">
        <v>46</v>
      </c>
      <c r="B59" s="18" t="s">
        <v>29</v>
      </c>
      <c r="C59" s="23" t="s">
        <v>87</v>
      </c>
      <c r="D59" t="str">
        <f>CONCATENATE("@",$A$1,A59,C59,";")</f>
        <v>@G:\兆尹工作\SVN\资管平台3.0产品\01.项目策划\合并估值核算升级\数据库脚本02_新估值指引改造\1.升级脚本\科目体系调整03_其他债权投资拆分_批处理配置.sql;</v>
      </c>
    </row>
    <row r="60" spans="1:4">
      <c r="A60" s="18" t="s">
        <v>46</v>
      </c>
      <c r="B60" s="18" t="s">
        <v>29</v>
      </c>
      <c r="C60" s="23" t="s">
        <v>88</v>
      </c>
      <c r="D60" t="str">
        <f>CONCATENATE("@",$A$1,A60,C60,";")</f>
        <v>@G:\兆尹工作\SVN\资管平台3.0产品\01.项目策划\合并估值核算升级\数据库脚本02_新估值指引改造\1.升级脚本\科目体系调整03_其他债权投资拆分_结算指令数据处理.sql;</v>
      </c>
    </row>
    <row r="61" spans="1:4">
      <c r="A61" s="18" t="s">
        <v>49</v>
      </c>
      <c r="B61" s="18" t="s">
        <v>29</v>
      </c>
      <c r="C61" s="23" t="s">
        <v>89</v>
      </c>
      <c r="D61" t="str">
        <f>CONCATENATE("@",$A$1,A61,C61,";")</f>
        <v>@G:\兆尹工作\SVN\资管平台3.0产品\01.项目策划\合并估值核算升级\数据库脚本02_新估值指引改造\1.升级脚本\其他功能调整脚本三表优化增加表_20200518.sql;</v>
      </c>
    </row>
    <row r="62" spans="1:4">
      <c r="A62" s="18" t="s">
        <v>49</v>
      </c>
      <c r="B62" s="18" t="s">
        <v>29</v>
      </c>
      <c r="C62" s="23" t="s">
        <v>90</v>
      </c>
      <c r="D62" t="str">
        <f>CONCATENATE("@",$A$1,A62,C62,";")</f>
        <v>@G:\兆尹工作\SVN\资管平台3.0产品\01.项目策划\合并估值核算升级\数据库脚本02_新估值指引改造\1.升级脚本\其他功能调整脚本增加三表落地批处理_20200521.sql;</v>
      </c>
    </row>
    <row r="63" spans="1:4">
      <c r="A63" s="18" t="s">
        <v>46</v>
      </c>
      <c r="B63" s="18" t="s">
        <v>29</v>
      </c>
      <c r="C63" s="23" t="s">
        <v>91</v>
      </c>
      <c r="D63" t="str">
        <f>CONCATENATE("@",$A$1,A63,C63,";")</f>
        <v>@G:\兆尹工作\SVN\资管平台3.0产品\01.项目策划\合并估值核算升级\数据库脚本02_新估值指引改造\1.升级脚本\科目体系调整04_净值型产品认申购交易_历史数据处理.sql;</v>
      </c>
    </row>
    <row r="64" spans="1:4">
      <c r="A64" s="18" t="s">
        <v>46</v>
      </c>
      <c r="B64" s="18" t="s">
        <v>29</v>
      </c>
      <c r="C64" s="23" t="s">
        <v>92</v>
      </c>
      <c r="D64" t="str">
        <f>CONCATENATE("@",$A$1,A64,C64,";")</f>
        <v>@G:\兆尹工作\SVN\资管平台3.0产品\01.项目策划\合并估值核算升级\数据库脚本02_新估值指引改造\1.升级脚本\科目体系调整04_净值型产品认申购交易_批处理匹配关系表.sql;</v>
      </c>
    </row>
    <row r="65" spans="1:4">
      <c r="A65" s="18" t="s">
        <v>46</v>
      </c>
      <c r="B65" s="18" t="s">
        <v>29</v>
      </c>
      <c r="C65" s="23" t="s">
        <v>93</v>
      </c>
      <c r="D65" t="str">
        <f>CONCATENATE("@",$A$1,A65,C65,";")</f>
        <v>@G:\兆尹工作\SVN\资管平台3.0产品\01.项目策划\合并估值核算升级\数据库脚本02_新估值指引改造\1.升级脚本\科目体系调整04_净值型产品认申购交易_指令映射关系配置.sql;</v>
      </c>
    </row>
    <row r="66" spans="1:4">
      <c r="A66" s="18" t="s">
        <v>63</v>
      </c>
      <c r="B66" s="18" t="s">
        <v>29</v>
      </c>
      <c r="C66" s="27" t="s">
        <v>94</v>
      </c>
      <c r="D66" t="str">
        <f>CONCATENATE("@",$A$1,A66,C66,";")</f>
        <v>@G:\兆尹工作\SVN\资管平台3.0产品\01.项目策划\合并估值核算升级\数据库脚本02_新估值指引改造\1.升级脚本\运维辅助工具20201229_科目余额重汇信息记录表.sql;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E38" sqref="E38"/>
    </sheetView>
  </sheetViews>
  <sheetFormatPr defaultColWidth="9" defaultRowHeight="13.5" outlineLevelCol="6"/>
  <cols>
    <col min="1" max="1" width="5.46666666666667" style="1" customWidth="1"/>
    <col min="2" max="2" width="25.5" customWidth="1"/>
    <col min="3" max="3" width="47.625" customWidth="1"/>
    <col min="4" max="4" width="7" customWidth="1"/>
    <col min="5" max="5" width="52.8833333333333" customWidth="1"/>
    <col min="6" max="6" width="9" style="1"/>
  </cols>
  <sheetData>
    <row r="1" spans="1:6">
      <c r="A1" s="2" t="s">
        <v>0</v>
      </c>
      <c r="B1" s="3" t="s">
        <v>95</v>
      </c>
      <c r="C1" s="3" t="s">
        <v>96</v>
      </c>
      <c r="D1" s="3" t="s">
        <v>20</v>
      </c>
      <c r="E1" s="3" t="s">
        <v>2</v>
      </c>
      <c r="F1" s="2" t="s">
        <v>97</v>
      </c>
    </row>
    <row r="2" spans="1:7">
      <c r="A2" s="8">
        <f>ROW()-1</f>
        <v>1</v>
      </c>
      <c r="B2" s="32" t="s">
        <v>98</v>
      </c>
      <c r="C2" s="33" t="s">
        <v>99</v>
      </c>
      <c r="D2" s="11" t="s">
        <v>23</v>
      </c>
      <c r="E2" s="11" t="s">
        <v>24</v>
      </c>
      <c r="F2" s="34">
        <v>1</v>
      </c>
      <c r="G2" s="35" t="s">
        <v>100</v>
      </c>
    </row>
    <row r="3" spans="1:7">
      <c r="A3" s="8">
        <f>ROW()-1</f>
        <v>2</v>
      </c>
      <c r="B3" s="32" t="s">
        <v>101</v>
      </c>
      <c r="C3" s="36" t="s">
        <v>99</v>
      </c>
      <c r="D3" s="11" t="s">
        <v>23</v>
      </c>
      <c r="E3" s="35" t="s">
        <v>25</v>
      </c>
      <c r="F3" s="34">
        <v>1</v>
      </c>
      <c r="G3" s="35" t="s">
        <v>100</v>
      </c>
    </row>
    <row r="4" spans="1:7">
      <c r="A4" s="8">
        <f>ROW()-1</f>
        <v>3</v>
      </c>
      <c r="B4" s="32" t="s">
        <v>102</v>
      </c>
      <c r="C4" s="36"/>
      <c r="D4" s="11" t="s">
        <v>23</v>
      </c>
      <c r="E4" s="35" t="s">
        <v>26</v>
      </c>
      <c r="F4" s="34">
        <v>1</v>
      </c>
      <c r="G4" s="35" t="s">
        <v>100</v>
      </c>
    </row>
    <row r="5" spans="1:7">
      <c r="A5" s="8">
        <f t="shared" ref="A5:A21" si="0">ROW()-1</f>
        <v>4</v>
      </c>
      <c r="B5" s="32" t="s">
        <v>103</v>
      </c>
      <c r="C5" s="33"/>
      <c r="D5" s="11" t="s">
        <v>23</v>
      </c>
      <c r="E5" s="11" t="s">
        <v>27</v>
      </c>
      <c r="F5" s="34">
        <v>1</v>
      </c>
      <c r="G5" s="35" t="s">
        <v>100</v>
      </c>
    </row>
    <row r="6" spans="1:7">
      <c r="A6" s="8">
        <f t="shared" si="0"/>
        <v>5</v>
      </c>
      <c r="B6" s="37" t="s">
        <v>104</v>
      </c>
      <c r="C6" s="33" t="s">
        <v>105</v>
      </c>
      <c r="D6" s="11" t="s">
        <v>29</v>
      </c>
      <c r="E6" s="11" t="s">
        <v>30</v>
      </c>
      <c r="F6" s="34">
        <v>1</v>
      </c>
      <c r="G6" s="35" t="s">
        <v>100</v>
      </c>
    </row>
    <row r="7" spans="1:7">
      <c r="A7" s="8">
        <f t="shared" si="0"/>
        <v>6</v>
      </c>
      <c r="B7" s="38"/>
      <c r="C7" s="36" t="s">
        <v>106</v>
      </c>
      <c r="D7" s="11" t="s">
        <v>29</v>
      </c>
      <c r="E7" s="35" t="s">
        <v>31</v>
      </c>
      <c r="F7" s="34">
        <v>1</v>
      </c>
      <c r="G7" s="35" t="s">
        <v>100</v>
      </c>
    </row>
    <row r="8" spans="1:7">
      <c r="A8" s="8">
        <f t="shared" si="0"/>
        <v>7</v>
      </c>
      <c r="B8" s="39"/>
      <c r="C8" s="33" t="s">
        <v>107</v>
      </c>
      <c r="D8" s="11" t="s">
        <v>29</v>
      </c>
      <c r="E8" s="11" t="s">
        <v>32</v>
      </c>
      <c r="F8" s="34">
        <v>1</v>
      </c>
      <c r="G8" s="35" t="s">
        <v>100</v>
      </c>
    </row>
    <row r="9" spans="1:7">
      <c r="A9" s="8">
        <f t="shared" si="0"/>
        <v>8</v>
      </c>
      <c r="B9" s="32" t="s">
        <v>108</v>
      </c>
      <c r="C9" s="33" t="s">
        <v>109</v>
      </c>
      <c r="D9" s="11" t="s">
        <v>29</v>
      </c>
      <c r="E9" s="11" t="s">
        <v>33</v>
      </c>
      <c r="F9" s="34">
        <v>1</v>
      </c>
      <c r="G9" s="35" t="s">
        <v>100</v>
      </c>
    </row>
    <row r="10" spans="1:7">
      <c r="A10" s="8">
        <f t="shared" si="0"/>
        <v>9</v>
      </c>
      <c r="B10" s="37" t="s">
        <v>110</v>
      </c>
      <c r="C10" s="33" t="s">
        <v>110</v>
      </c>
      <c r="D10" s="11" t="s">
        <v>29</v>
      </c>
      <c r="E10" s="11" t="s">
        <v>34</v>
      </c>
      <c r="F10" s="34">
        <v>1</v>
      </c>
      <c r="G10" s="35" t="s">
        <v>100</v>
      </c>
    </row>
    <row r="11" spans="1:7">
      <c r="A11" s="8">
        <f t="shared" si="0"/>
        <v>10</v>
      </c>
      <c r="B11" s="38"/>
      <c r="C11" s="33" t="s">
        <v>110</v>
      </c>
      <c r="D11" s="11" t="s">
        <v>29</v>
      </c>
      <c r="E11" s="11" t="s">
        <v>35</v>
      </c>
      <c r="F11" s="34">
        <v>1</v>
      </c>
      <c r="G11" s="35" t="s">
        <v>100</v>
      </c>
    </row>
    <row r="12" spans="1:7">
      <c r="A12" s="8">
        <f t="shared" si="0"/>
        <v>11</v>
      </c>
      <c r="B12" s="38"/>
      <c r="C12" s="33" t="s">
        <v>110</v>
      </c>
      <c r="D12" s="11" t="s">
        <v>29</v>
      </c>
      <c r="E12" s="11" t="s">
        <v>36</v>
      </c>
      <c r="F12" s="34">
        <v>1</v>
      </c>
      <c r="G12" s="35" t="s">
        <v>100</v>
      </c>
    </row>
    <row r="13" spans="1:7">
      <c r="A13" s="8">
        <f t="shared" si="0"/>
        <v>12</v>
      </c>
      <c r="B13" s="39"/>
      <c r="C13" s="33" t="s">
        <v>110</v>
      </c>
      <c r="D13" s="11" t="s">
        <v>29</v>
      </c>
      <c r="E13" s="11" t="s">
        <v>37</v>
      </c>
      <c r="F13" s="34">
        <v>1</v>
      </c>
      <c r="G13" s="35" t="s">
        <v>100</v>
      </c>
    </row>
    <row r="14" spans="1:7">
      <c r="A14" s="8">
        <f t="shared" si="0"/>
        <v>13</v>
      </c>
      <c r="B14" s="32" t="s">
        <v>102</v>
      </c>
      <c r="C14" s="33" t="s">
        <v>102</v>
      </c>
      <c r="D14" s="11" t="s">
        <v>29</v>
      </c>
      <c r="E14" s="11" t="s">
        <v>38</v>
      </c>
      <c r="F14" s="34">
        <v>1</v>
      </c>
      <c r="G14" s="35" t="s">
        <v>100</v>
      </c>
    </row>
    <row r="15" spans="1:7">
      <c r="A15" s="8">
        <f t="shared" si="0"/>
        <v>14</v>
      </c>
      <c r="B15" s="32" t="s">
        <v>111</v>
      </c>
      <c r="C15" s="33" t="s">
        <v>111</v>
      </c>
      <c r="D15" s="11" t="s">
        <v>29</v>
      </c>
      <c r="E15" s="11" t="s">
        <v>39</v>
      </c>
      <c r="F15" s="34">
        <v>1</v>
      </c>
      <c r="G15" s="35" t="s">
        <v>100</v>
      </c>
    </row>
    <row r="16" spans="1:7">
      <c r="A16" s="8">
        <f t="shared" si="0"/>
        <v>15</v>
      </c>
      <c r="B16" s="32" t="s">
        <v>112</v>
      </c>
      <c r="C16" s="33" t="s">
        <v>112</v>
      </c>
      <c r="D16" s="11" t="s">
        <v>29</v>
      </c>
      <c r="E16" s="11" t="s">
        <v>40</v>
      </c>
      <c r="F16" s="34">
        <v>1</v>
      </c>
      <c r="G16" s="35" t="s">
        <v>100</v>
      </c>
    </row>
    <row r="17" spans="1:7">
      <c r="A17" s="8">
        <f t="shared" si="0"/>
        <v>16</v>
      </c>
      <c r="B17" s="32" t="s">
        <v>113</v>
      </c>
      <c r="C17" s="33" t="s">
        <v>114</v>
      </c>
      <c r="D17" s="11" t="s">
        <v>29</v>
      </c>
      <c r="E17" s="11" t="s">
        <v>41</v>
      </c>
      <c r="F17" s="34">
        <v>1</v>
      </c>
      <c r="G17" s="35" t="s">
        <v>100</v>
      </c>
    </row>
    <row r="18" ht="24" spans="1:7">
      <c r="A18" s="8">
        <f t="shared" si="0"/>
        <v>17</v>
      </c>
      <c r="B18" s="32" t="s">
        <v>115</v>
      </c>
      <c r="C18" s="33" t="s">
        <v>116</v>
      </c>
      <c r="D18" s="11" t="s">
        <v>29</v>
      </c>
      <c r="E18" s="11" t="s">
        <v>42</v>
      </c>
      <c r="F18" s="34">
        <v>1</v>
      </c>
      <c r="G18" s="35" t="s">
        <v>100</v>
      </c>
    </row>
    <row r="19" spans="1:7">
      <c r="A19" s="8">
        <f t="shared" si="0"/>
        <v>18</v>
      </c>
      <c r="B19" s="32" t="s">
        <v>15</v>
      </c>
      <c r="C19" s="33" t="s">
        <v>117</v>
      </c>
      <c r="D19" s="11" t="s">
        <v>29</v>
      </c>
      <c r="E19" s="11" t="s">
        <v>43</v>
      </c>
      <c r="F19" s="34">
        <v>1</v>
      </c>
      <c r="G19" s="35" t="s">
        <v>100</v>
      </c>
    </row>
    <row r="20" spans="1:7">
      <c r="A20" s="8">
        <f t="shared" si="0"/>
        <v>19</v>
      </c>
      <c r="B20" s="37" t="s">
        <v>118</v>
      </c>
      <c r="C20" s="33" t="s">
        <v>119</v>
      </c>
      <c r="D20" s="11" t="s">
        <v>29</v>
      </c>
      <c r="E20" s="11" t="s">
        <v>44</v>
      </c>
      <c r="F20" s="34">
        <v>1</v>
      </c>
      <c r="G20" s="35" t="s">
        <v>100</v>
      </c>
    </row>
    <row r="21" spans="1:7">
      <c r="A21" s="8">
        <f t="shared" si="0"/>
        <v>20</v>
      </c>
      <c r="B21" s="39"/>
      <c r="C21" s="33" t="s">
        <v>120</v>
      </c>
      <c r="D21" s="11" t="s">
        <v>29</v>
      </c>
      <c r="E21" s="11" t="s">
        <v>45</v>
      </c>
      <c r="F21" s="34">
        <v>2</v>
      </c>
      <c r="G21" s="35" t="s">
        <v>100</v>
      </c>
    </row>
  </sheetData>
  <mergeCells count="3">
    <mergeCell ref="B6:B8"/>
    <mergeCell ref="B10:B13"/>
    <mergeCell ref="B20:B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6"/>
  <sheetViews>
    <sheetView workbookViewId="0">
      <pane ySplit="1" topLeftCell="A2" activePane="bottomLeft" state="frozen"/>
      <selection/>
      <selection pane="bottomLeft" activeCell="G3" sqref="G3:G46"/>
    </sheetView>
  </sheetViews>
  <sheetFormatPr defaultColWidth="9" defaultRowHeight="13.5" outlineLevelCol="6"/>
  <cols>
    <col min="1" max="1" width="5.46666666666667" style="1" customWidth="1"/>
    <col min="2" max="2" width="17.625" customWidth="1"/>
    <col min="3" max="3" width="70.125" customWidth="1"/>
    <col min="4" max="4" width="7" customWidth="1"/>
    <col min="5" max="5" width="52.8833333333333" customWidth="1"/>
    <col min="6" max="6" width="9" style="1"/>
  </cols>
  <sheetData>
    <row r="1" spans="1:6">
      <c r="A1" s="2" t="s">
        <v>0</v>
      </c>
      <c r="B1" s="3" t="s">
        <v>95</v>
      </c>
      <c r="C1" s="3" t="s">
        <v>96</v>
      </c>
      <c r="D1" s="3" t="s">
        <v>20</v>
      </c>
      <c r="E1" s="3" t="s">
        <v>2</v>
      </c>
      <c r="F1" s="2" t="s">
        <v>97</v>
      </c>
    </row>
    <row r="2" ht="27" spans="1:7">
      <c r="A2" s="21">
        <f t="shared" ref="A2:A46" si="0">ROW()-1</f>
        <v>1</v>
      </c>
      <c r="B2" s="18" t="s">
        <v>121</v>
      </c>
      <c r="C2" s="15" t="s">
        <v>122</v>
      </c>
      <c r="D2" s="11" t="s">
        <v>29</v>
      </c>
      <c r="E2" s="22" t="s">
        <v>123</v>
      </c>
      <c r="F2" s="12">
        <v>1</v>
      </c>
      <c r="G2" t="s">
        <v>46</v>
      </c>
    </row>
    <row r="3" ht="36" spans="1:7">
      <c r="A3" s="21">
        <f t="shared" si="0"/>
        <v>2</v>
      </c>
      <c r="B3" s="11" t="s">
        <v>124</v>
      </c>
      <c r="C3" s="11" t="s">
        <v>125</v>
      </c>
      <c r="D3" s="11" t="s">
        <v>29</v>
      </c>
      <c r="E3" s="23" t="s">
        <v>67</v>
      </c>
      <c r="F3" s="12">
        <v>2</v>
      </c>
      <c r="G3" t="s">
        <v>46</v>
      </c>
    </row>
    <row r="4" spans="1:7">
      <c r="A4" s="21">
        <f t="shared" si="0"/>
        <v>3</v>
      </c>
      <c r="B4" s="24" t="s">
        <v>126</v>
      </c>
      <c r="C4" s="25" t="s">
        <v>127</v>
      </c>
      <c r="D4" s="11" t="s">
        <v>29</v>
      </c>
      <c r="E4" s="11" t="s">
        <v>69</v>
      </c>
      <c r="F4" s="12">
        <v>3</v>
      </c>
      <c r="G4" t="s">
        <v>68</v>
      </c>
    </row>
    <row r="5" spans="1:7">
      <c r="A5" s="21">
        <f t="shared" si="0"/>
        <v>4</v>
      </c>
      <c r="B5" s="24"/>
      <c r="C5" s="26"/>
      <c r="D5" s="11" t="s">
        <v>29</v>
      </c>
      <c r="E5" s="11" t="s">
        <v>70</v>
      </c>
      <c r="F5" s="12">
        <v>4</v>
      </c>
      <c r="G5" t="s">
        <v>68</v>
      </c>
    </row>
    <row r="6" spans="1:7">
      <c r="A6" s="21">
        <f t="shared" si="0"/>
        <v>5</v>
      </c>
      <c r="B6" s="24"/>
      <c r="C6" s="11" t="s">
        <v>128</v>
      </c>
      <c r="D6" s="11" t="s">
        <v>29</v>
      </c>
      <c r="E6" s="11" t="s">
        <v>71</v>
      </c>
      <c r="F6" s="12">
        <v>5</v>
      </c>
      <c r="G6" t="s">
        <v>68</v>
      </c>
    </row>
    <row r="7" spans="1:7">
      <c r="A7" s="21">
        <f t="shared" si="0"/>
        <v>6</v>
      </c>
      <c r="B7" s="24"/>
      <c r="C7" s="11" t="s">
        <v>129</v>
      </c>
      <c r="D7" s="11" t="s">
        <v>29</v>
      </c>
      <c r="E7" s="11" t="s">
        <v>72</v>
      </c>
      <c r="F7" s="12">
        <v>6</v>
      </c>
      <c r="G7" t="s">
        <v>68</v>
      </c>
    </row>
    <row r="8" spans="1:7">
      <c r="A8" s="21">
        <f t="shared" si="0"/>
        <v>7</v>
      </c>
      <c r="B8" s="24"/>
      <c r="C8" s="11" t="s">
        <v>130</v>
      </c>
      <c r="D8" s="11" t="s">
        <v>29</v>
      </c>
      <c r="E8" s="23" t="s">
        <v>73</v>
      </c>
      <c r="F8" s="12">
        <v>7</v>
      </c>
      <c r="G8" t="s">
        <v>68</v>
      </c>
    </row>
    <row r="9" spans="1:7">
      <c r="A9" s="21">
        <f t="shared" si="0"/>
        <v>8</v>
      </c>
      <c r="B9" s="24"/>
      <c r="C9" s="11" t="s">
        <v>131</v>
      </c>
      <c r="D9" s="11" t="s">
        <v>29</v>
      </c>
      <c r="E9" s="23" t="s">
        <v>74</v>
      </c>
      <c r="F9" s="12">
        <v>8</v>
      </c>
      <c r="G9" t="s">
        <v>68</v>
      </c>
    </row>
    <row r="10" spans="1:7">
      <c r="A10" s="21">
        <f t="shared" si="0"/>
        <v>9</v>
      </c>
      <c r="B10" s="24"/>
      <c r="C10" s="11" t="s">
        <v>132</v>
      </c>
      <c r="D10" s="11" t="s">
        <v>29</v>
      </c>
      <c r="E10" s="23" t="s">
        <v>75</v>
      </c>
      <c r="F10" s="12">
        <v>9</v>
      </c>
      <c r="G10" t="s">
        <v>68</v>
      </c>
    </row>
    <row r="11" spans="1:7">
      <c r="A11" s="21">
        <f t="shared" si="0"/>
        <v>10</v>
      </c>
      <c r="B11" s="24"/>
      <c r="C11" s="11" t="s">
        <v>15</v>
      </c>
      <c r="D11" s="11" t="s">
        <v>29</v>
      </c>
      <c r="E11" s="23" t="s">
        <v>76</v>
      </c>
      <c r="F11" s="12">
        <v>10</v>
      </c>
      <c r="G11" t="s">
        <v>68</v>
      </c>
    </row>
    <row r="12" ht="25" hidden="1" customHeight="1" spans="1:7">
      <c r="A12" s="21">
        <f t="shared" si="0"/>
        <v>11</v>
      </c>
      <c r="B12" s="24" t="s">
        <v>133</v>
      </c>
      <c r="C12" s="24" t="s">
        <v>134</v>
      </c>
      <c r="D12" s="11" t="s">
        <v>23</v>
      </c>
      <c r="E12" s="23" t="s">
        <v>47</v>
      </c>
      <c r="F12" s="12">
        <v>11</v>
      </c>
      <c r="G12" t="s">
        <v>46</v>
      </c>
    </row>
    <row r="13" ht="19" customHeight="1" spans="1:7">
      <c r="A13" s="21">
        <f t="shared" si="0"/>
        <v>12</v>
      </c>
      <c r="B13" s="24"/>
      <c r="C13" s="24"/>
      <c r="D13" s="11" t="s">
        <v>29</v>
      </c>
      <c r="E13" s="23" t="s">
        <v>77</v>
      </c>
      <c r="F13" s="12">
        <v>12</v>
      </c>
      <c r="G13" t="s">
        <v>46</v>
      </c>
    </row>
    <row r="14" spans="1:7">
      <c r="A14" s="21">
        <f t="shared" si="0"/>
        <v>13</v>
      </c>
      <c r="B14" s="24"/>
      <c r="C14" s="11" t="s">
        <v>135</v>
      </c>
      <c r="D14" s="11" t="s">
        <v>29</v>
      </c>
      <c r="E14" s="23" t="s">
        <v>78</v>
      </c>
      <c r="F14" s="12">
        <v>13</v>
      </c>
      <c r="G14" t="s">
        <v>46</v>
      </c>
    </row>
    <row r="15" spans="1:7">
      <c r="A15" s="21">
        <f t="shared" si="0"/>
        <v>14</v>
      </c>
      <c r="B15" s="24"/>
      <c r="C15" s="11" t="s">
        <v>136</v>
      </c>
      <c r="D15" s="11" t="s">
        <v>29</v>
      </c>
      <c r="E15" s="23" t="s">
        <v>79</v>
      </c>
      <c r="F15" s="12">
        <v>14</v>
      </c>
      <c r="G15" t="s">
        <v>46</v>
      </c>
    </row>
    <row r="16" spans="1:7">
      <c r="A16" s="21">
        <f t="shared" si="0"/>
        <v>15</v>
      </c>
      <c r="B16" s="24"/>
      <c r="C16" s="11" t="s">
        <v>137</v>
      </c>
      <c r="D16" s="11" t="s">
        <v>29</v>
      </c>
      <c r="E16" s="23" t="s">
        <v>80</v>
      </c>
      <c r="F16" s="12">
        <v>15</v>
      </c>
      <c r="G16" t="s">
        <v>46</v>
      </c>
    </row>
    <row r="17" spans="1:7">
      <c r="A17" s="21">
        <f t="shared" si="0"/>
        <v>16</v>
      </c>
      <c r="B17" s="24"/>
      <c r="C17" s="11" t="s">
        <v>138</v>
      </c>
      <c r="D17" s="11" t="s">
        <v>29</v>
      </c>
      <c r="E17" s="23" t="s">
        <v>81</v>
      </c>
      <c r="F17" s="12">
        <v>16</v>
      </c>
      <c r="G17" t="s">
        <v>46</v>
      </c>
    </row>
    <row r="18" spans="1:7">
      <c r="A18" s="21">
        <f t="shared" si="0"/>
        <v>17</v>
      </c>
      <c r="B18" s="24"/>
      <c r="C18" s="27" t="s">
        <v>139</v>
      </c>
      <c r="D18" s="23" t="s">
        <v>29</v>
      </c>
      <c r="E18" s="27" t="s">
        <v>82</v>
      </c>
      <c r="F18" s="12">
        <v>17</v>
      </c>
      <c r="G18" t="s">
        <v>46</v>
      </c>
    </row>
    <row r="19" hidden="1" spans="1:7">
      <c r="A19" s="21">
        <f t="shared" si="0"/>
        <v>18</v>
      </c>
      <c r="B19" s="24" t="s">
        <v>140</v>
      </c>
      <c r="C19" s="23" t="s">
        <v>141</v>
      </c>
      <c r="D19" s="23" t="s">
        <v>23</v>
      </c>
      <c r="E19" s="23" t="s">
        <v>48</v>
      </c>
      <c r="F19" s="12">
        <v>18</v>
      </c>
      <c r="G19" t="s">
        <v>46</v>
      </c>
    </row>
    <row r="20" ht="24" spans="1:7">
      <c r="A20" s="21">
        <f t="shared" si="0"/>
        <v>19</v>
      </c>
      <c r="B20" s="24"/>
      <c r="C20" s="11" t="s">
        <v>142</v>
      </c>
      <c r="D20" s="11" t="s">
        <v>29</v>
      </c>
      <c r="E20" s="23" t="s">
        <v>83</v>
      </c>
      <c r="F20" s="12">
        <v>19</v>
      </c>
      <c r="G20" t="s">
        <v>46</v>
      </c>
    </row>
    <row r="21" spans="1:7">
      <c r="A21" s="21">
        <f t="shared" si="0"/>
        <v>20</v>
      </c>
      <c r="B21" s="24"/>
      <c r="C21" s="23" t="s">
        <v>143</v>
      </c>
      <c r="D21" s="23" t="s">
        <v>29</v>
      </c>
      <c r="E21" s="23" t="s">
        <v>84</v>
      </c>
      <c r="F21" s="12">
        <v>20</v>
      </c>
      <c r="G21" t="s">
        <v>46</v>
      </c>
    </row>
    <row r="22" spans="1:7">
      <c r="A22" s="21">
        <f t="shared" si="0"/>
        <v>21</v>
      </c>
      <c r="B22" s="24"/>
      <c r="C22" s="23" t="s">
        <v>144</v>
      </c>
      <c r="D22" s="23" t="s">
        <v>29</v>
      </c>
      <c r="E22" s="23" t="s">
        <v>85</v>
      </c>
      <c r="F22" s="12">
        <v>21</v>
      </c>
      <c r="G22" t="s">
        <v>46</v>
      </c>
    </row>
    <row r="23" spans="1:7">
      <c r="A23" s="21">
        <f t="shared" si="0"/>
        <v>22</v>
      </c>
      <c r="B23" s="24"/>
      <c r="C23" s="23" t="s">
        <v>145</v>
      </c>
      <c r="D23" s="23" t="s">
        <v>29</v>
      </c>
      <c r="E23" s="23" t="s">
        <v>86</v>
      </c>
      <c r="F23" s="12">
        <v>22</v>
      </c>
      <c r="G23" t="s">
        <v>46</v>
      </c>
    </row>
    <row r="24" spans="1:7">
      <c r="A24" s="21">
        <f t="shared" si="0"/>
        <v>23</v>
      </c>
      <c r="B24" s="24"/>
      <c r="C24" s="23" t="s">
        <v>102</v>
      </c>
      <c r="D24" s="23" t="s">
        <v>29</v>
      </c>
      <c r="E24" s="23" t="s">
        <v>87</v>
      </c>
      <c r="F24" s="12">
        <v>23</v>
      </c>
      <c r="G24" t="s">
        <v>46</v>
      </c>
    </row>
    <row r="25" spans="1:7">
      <c r="A25" s="21">
        <f t="shared" si="0"/>
        <v>24</v>
      </c>
      <c r="B25" s="24"/>
      <c r="C25" s="23" t="s">
        <v>146</v>
      </c>
      <c r="D25" s="23" t="s">
        <v>29</v>
      </c>
      <c r="E25" s="23" t="s">
        <v>88</v>
      </c>
      <c r="F25" s="12">
        <v>24</v>
      </c>
      <c r="G25" t="s">
        <v>46</v>
      </c>
    </row>
    <row r="26" ht="48" hidden="1" spans="1:7">
      <c r="A26" s="21">
        <f t="shared" si="0"/>
        <v>25</v>
      </c>
      <c r="B26" s="25" t="s">
        <v>147</v>
      </c>
      <c r="C26" s="11" t="s">
        <v>148</v>
      </c>
      <c r="D26" s="23" t="s">
        <v>23</v>
      </c>
      <c r="E26" s="23" t="s">
        <v>50</v>
      </c>
      <c r="F26" s="12">
        <v>25</v>
      </c>
      <c r="G26" t="s">
        <v>49</v>
      </c>
    </row>
    <row r="27" hidden="1" spans="1:7">
      <c r="A27" s="21">
        <f t="shared" si="0"/>
        <v>26</v>
      </c>
      <c r="B27" s="28"/>
      <c r="C27" s="23" t="s">
        <v>149</v>
      </c>
      <c r="D27" s="23" t="s">
        <v>23</v>
      </c>
      <c r="E27" s="23" t="s">
        <v>51</v>
      </c>
      <c r="F27" s="12">
        <v>26</v>
      </c>
      <c r="G27" t="s">
        <v>49</v>
      </c>
    </row>
    <row r="28" hidden="1" spans="1:7">
      <c r="A28" s="21">
        <f t="shared" si="0"/>
        <v>27</v>
      </c>
      <c r="B28" s="28"/>
      <c r="C28" s="23" t="s">
        <v>150</v>
      </c>
      <c r="D28" s="23" t="s">
        <v>23</v>
      </c>
      <c r="E28" s="23" t="s">
        <v>52</v>
      </c>
      <c r="F28" s="12">
        <v>27</v>
      </c>
      <c r="G28" t="s">
        <v>49</v>
      </c>
    </row>
    <row r="29" spans="1:7">
      <c r="A29" s="21">
        <f t="shared" si="0"/>
        <v>28</v>
      </c>
      <c r="B29" s="28"/>
      <c r="C29" s="11" t="s">
        <v>151</v>
      </c>
      <c r="D29" s="23" t="s">
        <v>29</v>
      </c>
      <c r="E29" s="23" t="s">
        <v>89</v>
      </c>
      <c r="F29" s="12">
        <v>28</v>
      </c>
      <c r="G29" t="s">
        <v>49</v>
      </c>
    </row>
    <row r="30" spans="1:7">
      <c r="A30" s="21">
        <f t="shared" si="0"/>
        <v>29</v>
      </c>
      <c r="B30" s="28"/>
      <c r="C30" s="23" t="s">
        <v>149</v>
      </c>
      <c r="D30" s="23" t="s">
        <v>29</v>
      </c>
      <c r="E30" s="23" t="s">
        <v>90</v>
      </c>
      <c r="F30" s="12">
        <v>29</v>
      </c>
      <c r="G30" t="s">
        <v>49</v>
      </c>
    </row>
    <row r="31" hidden="1" spans="1:7">
      <c r="A31" s="21">
        <f t="shared" si="0"/>
        <v>30</v>
      </c>
      <c r="B31" s="29" t="s">
        <v>152</v>
      </c>
      <c r="C31" s="24" t="s">
        <v>153</v>
      </c>
      <c r="D31" s="11" t="s">
        <v>23</v>
      </c>
      <c r="E31" s="5" t="s">
        <v>53</v>
      </c>
      <c r="F31" s="12">
        <v>30</v>
      </c>
      <c r="G31" t="s">
        <v>46</v>
      </c>
    </row>
    <row r="32" spans="1:7">
      <c r="A32" s="21">
        <f t="shared" si="0"/>
        <v>31</v>
      </c>
      <c r="B32" s="29"/>
      <c r="C32" s="24"/>
      <c r="D32" s="11" t="s">
        <v>29</v>
      </c>
      <c r="E32" s="23" t="s">
        <v>91</v>
      </c>
      <c r="F32" s="12">
        <v>31</v>
      </c>
      <c r="G32" t="s">
        <v>46</v>
      </c>
    </row>
    <row r="33" spans="1:7">
      <c r="A33" s="21">
        <f t="shared" si="0"/>
        <v>32</v>
      </c>
      <c r="B33" s="29"/>
      <c r="C33" s="24"/>
      <c r="D33" s="11" t="s">
        <v>29</v>
      </c>
      <c r="E33" s="23" t="s">
        <v>92</v>
      </c>
      <c r="F33" s="12">
        <v>32</v>
      </c>
      <c r="G33" t="s">
        <v>46</v>
      </c>
    </row>
    <row r="34" spans="1:7">
      <c r="A34" s="21">
        <f t="shared" si="0"/>
        <v>33</v>
      </c>
      <c r="B34" s="29"/>
      <c r="C34" s="24"/>
      <c r="D34" s="11" t="s">
        <v>29</v>
      </c>
      <c r="E34" s="23" t="s">
        <v>93</v>
      </c>
      <c r="F34" s="12">
        <v>33</v>
      </c>
      <c r="G34" t="s">
        <v>46</v>
      </c>
    </row>
    <row r="35" hidden="1" spans="1:7">
      <c r="A35" s="21">
        <f t="shared" si="0"/>
        <v>34</v>
      </c>
      <c r="B35" s="24" t="s">
        <v>15</v>
      </c>
      <c r="C35" s="24" t="s">
        <v>154</v>
      </c>
      <c r="D35" s="23" t="s">
        <v>23</v>
      </c>
      <c r="E35" s="23" t="s">
        <v>55</v>
      </c>
      <c r="F35" s="12">
        <v>34</v>
      </c>
      <c r="G35" t="s">
        <v>54</v>
      </c>
    </row>
    <row r="36" hidden="1" spans="1:7">
      <c r="A36" s="21">
        <f t="shared" si="0"/>
        <v>35</v>
      </c>
      <c r="B36" s="24"/>
      <c r="C36" s="24"/>
      <c r="D36" s="23" t="s">
        <v>23</v>
      </c>
      <c r="E36" s="23" t="s">
        <v>56</v>
      </c>
      <c r="F36" s="12">
        <v>35</v>
      </c>
      <c r="G36" t="s">
        <v>54</v>
      </c>
    </row>
    <row r="37" hidden="1" spans="1:7">
      <c r="A37" s="21">
        <f t="shared" si="0"/>
        <v>36</v>
      </c>
      <c r="B37" s="24"/>
      <c r="C37" s="24"/>
      <c r="D37" s="23" t="s">
        <v>23</v>
      </c>
      <c r="E37" s="23" t="s">
        <v>57</v>
      </c>
      <c r="F37" s="12">
        <v>36</v>
      </c>
      <c r="G37" t="s">
        <v>54</v>
      </c>
    </row>
    <row r="38" hidden="1" spans="1:7">
      <c r="A38" s="21">
        <f t="shared" si="0"/>
        <v>37</v>
      </c>
      <c r="B38" s="24"/>
      <c r="C38" s="30" t="s">
        <v>4</v>
      </c>
      <c r="D38" s="23" t="s">
        <v>23</v>
      </c>
      <c r="E38" s="27" t="s">
        <v>58</v>
      </c>
      <c r="F38" s="12">
        <v>37</v>
      </c>
      <c r="G38" t="s">
        <v>49</v>
      </c>
    </row>
    <row r="39" hidden="1" spans="1:7">
      <c r="A39" s="21">
        <f t="shared" si="0"/>
        <v>38</v>
      </c>
      <c r="B39" s="24"/>
      <c r="C39" s="30"/>
      <c r="D39" s="23" t="s">
        <v>23</v>
      </c>
      <c r="E39" s="27" t="s">
        <v>59</v>
      </c>
      <c r="F39" s="12">
        <v>38</v>
      </c>
      <c r="G39" t="s">
        <v>49</v>
      </c>
    </row>
    <row r="40" ht="24" hidden="1" spans="1:7">
      <c r="A40" s="21">
        <f t="shared" si="0"/>
        <v>39</v>
      </c>
      <c r="B40" s="24"/>
      <c r="C40" s="31" t="s">
        <v>155</v>
      </c>
      <c r="D40" s="23" t="s">
        <v>23</v>
      </c>
      <c r="E40" s="27" t="s">
        <v>60</v>
      </c>
      <c r="F40" s="12">
        <v>39</v>
      </c>
      <c r="G40" t="s">
        <v>49</v>
      </c>
    </row>
    <row r="41" hidden="1" spans="1:7">
      <c r="A41" s="21">
        <f t="shared" si="0"/>
        <v>40</v>
      </c>
      <c r="B41" s="24"/>
      <c r="C41" s="27" t="s">
        <v>156</v>
      </c>
      <c r="D41" s="23" t="s">
        <v>23</v>
      </c>
      <c r="E41" s="27" t="s">
        <v>61</v>
      </c>
      <c r="F41" s="12">
        <v>40</v>
      </c>
      <c r="G41" t="s">
        <v>49</v>
      </c>
    </row>
    <row r="42" hidden="1" spans="1:7">
      <c r="A42" s="21">
        <f t="shared" si="0"/>
        <v>41</v>
      </c>
      <c r="B42" s="24"/>
      <c r="C42" s="27" t="s">
        <v>157</v>
      </c>
      <c r="D42" s="23" t="s">
        <v>23</v>
      </c>
      <c r="E42" s="27" t="s">
        <v>62</v>
      </c>
      <c r="F42" s="12">
        <v>41</v>
      </c>
      <c r="G42" t="s">
        <v>49</v>
      </c>
    </row>
    <row r="43" ht="60" hidden="1" spans="1:7">
      <c r="A43" s="21">
        <f t="shared" si="0"/>
        <v>42</v>
      </c>
      <c r="B43" s="13" t="s">
        <v>158</v>
      </c>
      <c r="C43" s="31" t="s">
        <v>159</v>
      </c>
      <c r="D43" s="23" t="s">
        <v>23</v>
      </c>
      <c r="E43" s="27" t="s">
        <v>64</v>
      </c>
      <c r="F43" s="12">
        <v>42</v>
      </c>
      <c r="G43" t="s">
        <v>63</v>
      </c>
    </row>
    <row r="44" hidden="1" spans="1:7">
      <c r="A44" s="21">
        <f t="shared" si="0"/>
        <v>43</v>
      </c>
      <c r="B44" s="14"/>
      <c r="C44" s="27" t="s">
        <v>160</v>
      </c>
      <c r="D44" s="23" t="s">
        <v>23</v>
      </c>
      <c r="E44" s="27" t="s">
        <v>65</v>
      </c>
      <c r="F44" s="12">
        <v>43</v>
      </c>
      <c r="G44" t="s">
        <v>63</v>
      </c>
    </row>
    <row r="45" hidden="1" spans="1:7">
      <c r="A45" s="21">
        <f t="shared" si="0"/>
        <v>44</v>
      </c>
      <c r="B45" s="14"/>
      <c r="C45" s="27" t="s">
        <v>161</v>
      </c>
      <c r="D45" s="23" t="s">
        <v>23</v>
      </c>
      <c r="E45" s="27" t="s">
        <v>66</v>
      </c>
      <c r="F45" s="12">
        <v>44</v>
      </c>
      <c r="G45" t="s">
        <v>63</v>
      </c>
    </row>
    <row r="46" spans="1:7">
      <c r="A46" s="21">
        <f t="shared" si="0"/>
        <v>45</v>
      </c>
      <c r="B46" s="17"/>
      <c r="C46" s="27" t="s">
        <v>160</v>
      </c>
      <c r="D46" s="23" t="s">
        <v>29</v>
      </c>
      <c r="E46" s="27" t="s">
        <v>94</v>
      </c>
      <c r="F46" s="12">
        <v>45</v>
      </c>
      <c r="G46" t="s">
        <v>63</v>
      </c>
    </row>
  </sheetData>
  <autoFilter ref="A1:G46">
    <filterColumn colId="3">
      <customFilters>
        <customFilter operator="equal" val="MAST"/>
      </customFilters>
    </filterColumn>
    <extLst/>
  </autoFilter>
  <mergeCells count="12">
    <mergeCell ref="B4:B11"/>
    <mergeCell ref="B12:B18"/>
    <mergeCell ref="B19:B25"/>
    <mergeCell ref="B26:B30"/>
    <mergeCell ref="B31:B34"/>
    <mergeCell ref="B35:B42"/>
    <mergeCell ref="B43:B46"/>
    <mergeCell ref="C4:C5"/>
    <mergeCell ref="C12:C13"/>
    <mergeCell ref="C31:C34"/>
    <mergeCell ref="C35:C37"/>
    <mergeCell ref="C38:C39"/>
  </mergeCells>
  <hyperlinks>
    <hyperlink ref="E2" location="【02_新估值指引改造_】_辅助查询!A1" display="链接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3.5" outlineLevelRow="4" outlineLevelCol="4"/>
  <cols>
    <col min="1" max="1" width="9" style="1"/>
    <col min="2" max="2" width="19" customWidth="1"/>
    <col min="3" max="3" width="65.375" customWidth="1"/>
    <col min="4" max="4" width="19.875" customWidth="1"/>
    <col min="5" max="5" width="16.625" customWidth="1"/>
  </cols>
  <sheetData>
    <row r="1" spans="1:5">
      <c r="A1" s="2" t="s">
        <v>0</v>
      </c>
      <c r="B1" s="3" t="s">
        <v>95</v>
      </c>
      <c r="C1" s="3" t="s">
        <v>96</v>
      </c>
      <c r="D1" s="3" t="s">
        <v>3</v>
      </c>
      <c r="E1" s="3" t="s">
        <v>97</v>
      </c>
    </row>
    <row r="2" ht="81" customHeight="1" spans="1:5">
      <c r="A2" s="12">
        <f>ROW()-1</f>
        <v>1</v>
      </c>
      <c r="B2" s="18" t="s">
        <v>162</v>
      </c>
      <c r="C2" s="18" t="s">
        <v>163</v>
      </c>
      <c r="D2" s="18"/>
      <c r="E2" s="12">
        <v>47</v>
      </c>
    </row>
    <row r="3" ht="78" customHeight="1" spans="1:5">
      <c r="A3" s="12">
        <v>2</v>
      </c>
      <c r="B3" s="18" t="s">
        <v>164</v>
      </c>
      <c r="C3" s="18" t="s">
        <v>165</v>
      </c>
      <c r="D3" s="18"/>
      <c r="E3" s="12">
        <v>48</v>
      </c>
    </row>
    <row r="4" ht="78" customHeight="1" spans="1:5">
      <c r="A4" s="12">
        <v>3</v>
      </c>
      <c r="B4" s="18" t="s">
        <v>166</v>
      </c>
      <c r="C4" s="18" t="s">
        <v>167</v>
      </c>
      <c r="D4" s="18"/>
      <c r="E4" s="12">
        <v>49</v>
      </c>
    </row>
    <row r="5" ht="78" customHeight="1" spans="1:5">
      <c r="A5" s="12">
        <v>4</v>
      </c>
      <c r="B5" s="18" t="s">
        <v>168</v>
      </c>
      <c r="C5" s="18" t="s">
        <v>169</v>
      </c>
      <c r="D5" s="18"/>
      <c r="E5" s="12">
        <v>50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Excel.Sheet.8" r:id="rId3" dvAspect="DVASPECT_ICON">
          <objectPr defaultSize="0" r:id="rId4">
            <anchor moveWithCells="1">
              <from>
                <xdr:col>3</xdr:col>
                <xdr:colOff>228600</xdr:colOff>
                <xdr:row>2</xdr:row>
                <xdr:rowOff>85725</xdr:rowOff>
              </from>
              <to>
                <xdr:col>3</xdr:col>
                <xdr:colOff>1152525</xdr:colOff>
                <xdr:row>2</xdr:row>
                <xdr:rowOff>923925</xdr:rowOff>
              </to>
            </anchor>
          </objectPr>
        </oleObject>
      </mc:Choice>
      <mc:Fallback>
        <oleObject shapeId="1026" progId="Excel.Sheet.8" r:id="rId3" dvAspect="DVASPECT_ICON"/>
      </mc:Fallback>
    </mc:AlternateContent>
    <mc:AlternateContent xmlns:mc="http://schemas.openxmlformats.org/markup-compatibility/2006">
      <mc:Choice Requires="x14">
        <oleObject shapeId="1029" progId="Excel.Sheet.8" r:id="rId5" dvAspect="DVASPECT_ICON">
          <objectPr defaultSize="0" r:id="rId6">
            <anchor moveWithCells="1">
              <from>
                <xdr:col>3</xdr:col>
                <xdr:colOff>238125</xdr:colOff>
                <xdr:row>3</xdr:row>
                <xdr:rowOff>66675</xdr:rowOff>
              </from>
              <to>
                <xdr:col>3</xdr:col>
                <xdr:colOff>1162050</xdr:colOff>
                <xdr:row>3</xdr:row>
                <xdr:rowOff>904875</xdr:rowOff>
              </to>
            </anchor>
          </objectPr>
        </oleObject>
      </mc:Choice>
      <mc:Fallback>
        <oleObject shapeId="1029" progId="Excel.Sheet.8" r:id="rId5" dvAspect="DVASPECT_ICON"/>
      </mc:Fallback>
    </mc:AlternateContent>
    <mc:AlternateContent xmlns:mc="http://schemas.openxmlformats.org/markup-compatibility/2006">
      <mc:Choice Requires="x14">
        <oleObject shapeId="1030" progId="Excel.Sheet.8" r:id="rId7" dvAspect="DVASPECT_ICON">
          <objectPr defaultSize="0" r:id="rId8">
            <anchor moveWithCells="1">
              <from>
                <xdr:col>3</xdr:col>
                <xdr:colOff>238125</xdr:colOff>
                <xdr:row>1</xdr:row>
                <xdr:rowOff>95250</xdr:rowOff>
              </from>
              <to>
                <xdr:col>3</xdr:col>
                <xdr:colOff>1162050</xdr:colOff>
                <xdr:row>1</xdr:row>
                <xdr:rowOff>933450</xdr:rowOff>
              </to>
            </anchor>
          </objectPr>
        </oleObject>
      </mc:Choice>
      <mc:Fallback>
        <oleObject shapeId="1030" progId="Excel.Sheet.8" r:id="rId7" dvAspect="DVASPECT_ICON"/>
      </mc:Fallback>
    </mc:AlternateContent>
    <mc:AlternateContent xmlns:mc="http://schemas.openxmlformats.org/markup-compatibility/2006">
      <mc:Choice Requires="x14">
        <oleObject shapeId="1033" progId="Package" r:id="rId9" dvAspect="DVASPECT_ICON">
          <objectPr defaultSize="0" r:id="rId10">
            <anchor moveWithCells="1">
              <from>
                <xdr:col>3</xdr:col>
                <xdr:colOff>219075</xdr:colOff>
                <xdr:row>4</xdr:row>
                <xdr:rowOff>76200</xdr:rowOff>
              </from>
              <to>
                <xdr:col>3</xdr:col>
                <xdr:colOff>1143000</xdr:colOff>
                <xdr:row>4</xdr:row>
                <xdr:rowOff>914400</xdr:rowOff>
              </to>
            </anchor>
          </objectPr>
        </oleObject>
      </mc:Choice>
      <mc:Fallback>
        <oleObject shapeId="1033" progId="Package" r:id="rId9" dvAspect="DVASPECT_ICON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F19" sqref="F19"/>
    </sheetView>
  </sheetViews>
  <sheetFormatPr defaultColWidth="9" defaultRowHeight="13.5" outlineLevelCol="3"/>
  <cols>
    <col min="1" max="1" width="9" style="1"/>
    <col min="2" max="2" width="15.625" customWidth="1"/>
    <col min="3" max="3" width="68.75" customWidth="1"/>
    <col min="4" max="4" width="45.875" customWidth="1"/>
  </cols>
  <sheetData>
    <row r="1" spans="1:4">
      <c r="A1" s="19" t="s">
        <v>0</v>
      </c>
      <c r="B1" s="20" t="s">
        <v>95</v>
      </c>
      <c r="C1" s="20" t="s">
        <v>170</v>
      </c>
      <c r="D1" s="20" t="s">
        <v>3</v>
      </c>
    </row>
    <row r="2" ht="27" spans="1:4">
      <c r="A2" s="12">
        <f>ROW()-1</f>
        <v>1</v>
      </c>
      <c r="B2" s="18" t="s">
        <v>171</v>
      </c>
      <c r="C2" s="15" t="s">
        <v>172</v>
      </c>
      <c r="D2" s="18" t="s">
        <v>173</v>
      </c>
    </row>
    <row r="3" ht="27" spans="1:4">
      <c r="A3" s="12">
        <f>ROW()-1</f>
        <v>2</v>
      </c>
      <c r="B3" s="18" t="s">
        <v>174</v>
      </c>
      <c r="C3" s="15" t="s">
        <v>175</v>
      </c>
      <c r="D3" s="18" t="s">
        <v>173</v>
      </c>
    </row>
    <row r="4" ht="162" spans="1:4">
      <c r="A4" s="12">
        <f>ROW()-1</f>
        <v>3</v>
      </c>
      <c r="B4" s="18" t="s">
        <v>176</v>
      </c>
      <c r="C4" s="15" t="s">
        <v>177</v>
      </c>
      <c r="D4" s="18" t="s">
        <v>178</v>
      </c>
    </row>
    <row r="5" spans="1:4">
      <c r="A5" s="12"/>
      <c r="B5" s="18"/>
      <c r="C5" s="18"/>
      <c r="D5" s="18"/>
    </row>
    <row r="6" spans="1:4">
      <c r="A6" s="12"/>
      <c r="B6" s="18"/>
      <c r="C6" s="18"/>
      <c r="D6" s="18"/>
    </row>
    <row r="7" spans="1:4">
      <c r="A7" s="12"/>
      <c r="B7" s="18"/>
      <c r="C7" s="18"/>
      <c r="D7" s="18"/>
    </row>
    <row r="8" spans="1:4">
      <c r="A8" s="12"/>
      <c r="B8" s="18"/>
      <c r="C8" s="18"/>
      <c r="D8" s="18"/>
    </row>
    <row r="9" spans="1:4">
      <c r="A9" s="12"/>
      <c r="B9" s="18"/>
      <c r="C9" s="18"/>
      <c r="D9" s="18"/>
    </row>
    <row r="10" spans="1:4">
      <c r="A10" s="12"/>
      <c r="B10" s="18"/>
      <c r="C10" s="18"/>
      <c r="D10" s="18"/>
    </row>
    <row r="11" spans="1:4">
      <c r="A11" s="12"/>
      <c r="B11" s="18"/>
      <c r="C11" s="18"/>
      <c r="D11" s="18"/>
    </row>
    <row r="12" spans="1:4">
      <c r="A12" s="12"/>
      <c r="B12" s="18"/>
      <c r="C12" s="18"/>
      <c r="D12" s="18"/>
    </row>
    <row r="13" spans="1:4">
      <c r="A13" s="12"/>
      <c r="B13" s="18"/>
      <c r="C13" s="18"/>
      <c r="D13" s="18"/>
    </row>
    <row r="14" spans="1:4">
      <c r="A14" s="12"/>
      <c r="B14" s="18"/>
      <c r="C14" s="18"/>
      <c r="D14" s="18"/>
    </row>
    <row r="15" spans="1:4">
      <c r="A15" s="12"/>
      <c r="B15" s="18"/>
      <c r="C15" s="18"/>
      <c r="D15" s="18"/>
    </row>
    <row r="16" spans="1:4">
      <c r="A16" s="12"/>
      <c r="B16" s="18"/>
      <c r="C16" s="18"/>
      <c r="D16" s="1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9" defaultRowHeight="13.5" outlineLevelCol="6"/>
  <cols>
    <col min="1" max="1" width="5.46666666666667" style="1" customWidth="1"/>
    <col min="2" max="2" width="17.625" customWidth="1"/>
    <col min="3" max="3" width="70.125" customWidth="1"/>
    <col min="4" max="4" width="7" customWidth="1"/>
    <col min="5" max="5" width="52.8833333333333" customWidth="1"/>
    <col min="6" max="6" width="9" style="1"/>
  </cols>
  <sheetData>
    <row r="1" spans="1:6">
      <c r="A1" s="2" t="s">
        <v>0</v>
      </c>
      <c r="B1" s="3" t="s">
        <v>95</v>
      </c>
      <c r="C1" s="3" t="s">
        <v>96</v>
      </c>
      <c r="D1" s="3" t="s">
        <v>20</v>
      </c>
      <c r="E1" s="3" t="s">
        <v>2</v>
      </c>
      <c r="F1" s="2" t="s">
        <v>97</v>
      </c>
    </row>
    <row r="2" spans="1:6">
      <c r="A2" s="8">
        <f t="shared" ref="A2:A24" si="0">ROW()-1</f>
        <v>1</v>
      </c>
      <c r="B2" s="9" t="s">
        <v>179</v>
      </c>
      <c r="C2" s="10" t="s">
        <v>180</v>
      </c>
      <c r="D2" s="11" t="s">
        <v>23</v>
      </c>
      <c r="E2" s="11" t="s">
        <v>181</v>
      </c>
      <c r="F2" s="12">
        <v>1</v>
      </c>
    </row>
    <row r="3" spans="1:6">
      <c r="A3" s="8">
        <f t="shared" si="0"/>
        <v>2</v>
      </c>
      <c r="B3" s="9"/>
      <c r="C3" t="s">
        <v>182</v>
      </c>
      <c r="D3" s="11" t="s">
        <v>23</v>
      </c>
      <c r="E3" t="s">
        <v>183</v>
      </c>
      <c r="F3" s="12">
        <v>1</v>
      </c>
    </row>
    <row r="4" spans="1:6">
      <c r="A4" s="8">
        <f t="shared" si="0"/>
        <v>3</v>
      </c>
      <c r="B4" s="9"/>
      <c r="C4" s="10" t="s">
        <v>184</v>
      </c>
      <c r="D4" s="11" t="s">
        <v>29</v>
      </c>
      <c r="E4" s="11" t="s">
        <v>185</v>
      </c>
      <c r="F4" s="12">
        <v>1</v>
      </c>
    </row>
    <row r="5" spans="1:6">
      <c r="A5" s="8">
        <f t="shared" si="0"/>
        <v>4</v>
      </c>
      <c r="B5" s="9"/>
      <c r="C5" s="10" t="s">
        <v>186</v>
      </c>
      <c r="D5" s="11" t="s">
        <v>29</v>
      </c>
      <c r="E5" s="11" t="s">
        <v>187</v>
      </c>
      <c r="F5" s="12">
        <v>1</v>
      </c>
    </row>
    <row r="6" spans="1:6">
      <c r="A6" s="8">
        <f t="shared" si="0"/>
        <v>5</v>
      </c>
      <c r="B6" s="13" t="s">
        <v>188</v>
      </c>
      <c r="C6" t="s">
        <v>189</v>
      </c>
      <c r="D6" s="11" t="s">
        <v>23</v>
      </c>
      <c r="E6" t="s">
        <v>190</v>
      </c>
      <c r="F6" s="12">
        <v>1</v>
      </c>
    </row>
    <row r="7" spans="1:6">
      <c r="A7" s="8">
        <f t="shared" si="0"/>
        <v>6</v>
      </c>
      <c r="B7" s="14"/>
      <c r="C7" s="15" t="s">
        <v>191</v>
      </c>
      <c r="D7" s="11" t="s">
        <v>29</v>
      </c>
      <c r="E7" s="11" t="s">
        <v>192</v>
      </c>
      <c r="F7" s="12">
        <v>1</v>
      </c>
    </row>
    <row r="8" spans="1:7">
      <c r="A8" s="8">
        <f t="shared" si="0"/>
        <v>7</v>
      </c>
      <c r="B8" s="14"/>
      <c r="C8" s="15" t="s">
        <v>193</v>
      </c>
      <c r="D8" s="11" t="s">
        <v>29</v>
      </c>
      <c r="E8" s="11" t="s">
        <v>194</v>
      </c>
      <c r="F8" s="12">
        <v>1</v>
      </c>
      <c r="G8" s="16" t="s">
        <v>195</v>
      </c>
    </row>
    <row r="9" spans="1:6">
      <c r="A9" s="8">
        <f t="shared" si="0"/>
        <v>8</v>
      </c>
      <c r="B9" s="17"/>
      <c r="C9" s="15" t="s">
        <v>196</v>
      </c>
      <c r="D9" s="11" t="s">
        <v>29</v>
      </c>
      <c r="E9" s="11" t="s">
        <v>197</v>
      </c>
      <c r="F9" s="12">
        <v>2</v>
      </c>
    </row>
    <row r="10" spans="1:6">
      <c r="A10" s="8">
        <f t="shared" si="0"/>
        <v>9</v>
      </c>
      <c r="B10" s="13" t="s">
        <v>198</v>
      </c>
      <c r="C10" s="15" t="s">
        <v>189</v>
      </c>
      <c r="D10" s="11" t="s">
        <v>23</v>
      </c>
      <c r="E10" s="11" t="s">
        <v>199</v>
      </c>
      <c r="F10" s="12">
        <v>1</v>
      </c>
    </row>
    <row r="11" spans="1:6">
      <c r="A11" s="8">
        <f t="shared" si="0"/>
        <v>10</v>
      </c>
      <c r="B11" s="14"/>
      <c r="C11" s="15" t="s">
        <v>200</v>
      </c>
      <c r="D11" s="11" t="s">
        <v>23</v>
      </c>
      <c r="E11" s="11" t="s">
        <v>201</v>
      </c>
      <c r="F11" s="12">
        <v>1</v>
      </c>
    </row>
    <row r="12" ht="40.5" spans="1:6">
      <c r="A12" s="8">
        <f t="shared" si="0"/>
        <v>11</v>
      </c>
      <c r="B12" s="17"/>
      <c r="C12" s="15" t="s">
        <v>202</v>
      </c>
      <c r="D12" s="11" t="s">
        <v>29</v>
      </c>
      <c r="E12" s="11" t="s">
        <v>203</v>
      </c>
      <c r="F12" s="12">
        <v>1</v>
      </c>
    </row>
    <row r="13" spans="1:6">
      <c r="A13" s="8">
        <f t="shared" si="0"/>
        <v>12</v>
      </c>
      <c r="B13" s="13" t="s">
        <v>204</v>
      </c>
      <c r="C13" s="15" t="s">
        <v>205</v>
      </c>
      <c r="D13" s="11" t="s">
        <v>23</v>
      </c>
      <c r="E13" s="11" t="s">
        <v>206</v>
      </c>
      <c r="F13" s="12">
        <v>1</v>
      </c>
    </row>
    <row r="14" spans="1:6">
      <c r="A14" s="8">
        <f t="shared" si="0"/>
        <v>13</v>
      </c>
      <c r="B14" s="14"/>
      <c r="C14" s="15" t="s">
        <v>207</v>
      </c>
      <c r="D14" s="11" t="s">
        <v>23</v>
      </c>
      <c r="E14" s="11" t="s">
        <v>208</v>
      </c>
      <c r="F14" s="12">
        <v>1</v>
      </c>
    </row>
    <row r="15" spans="1:6">
      <c r="A15" s="8">
        <f t="shared" si="0"/>
        <v>14</v>
      </c>
      <c r="B15" s="14"/>
      <c r="C15" s="15" t="s">
        <v>104</v>
      </c>
      <c r="D15" s="11" t="s">
        <v>29</v>
      </c>
      <c r="E15" s="11" t="s">
        <v>209</v>
      </c>
      <c r="F15" s="12">
        <v>1</v>
      </c>
    </row>
    <row r="16" spans="1:6">
      <c r="A16" s="8">
        <f t="shared" si="0"/>
        <v>15</v>
      </c>
      <c r="B16" s="14"/>
      <c r="C16" s="15" t="s">
        <v>210</v>
      </c>
      <c r="D16" s="11" t="s">
        <v>29</v>
      </c>
      <c r="E16" s="11" t="s">
        <v>211</v>
      </c>
      <c r="F16" s="12">
        <v>1</v>
      </c>
    </row>
    <row r="17" spans="1:6">
      <c r="A17" s="8">
        <f t="shared" si="0"/>
        <v>16</v>
      </c>
      <c r="B17" s="17"/>
      <c r="C17" s="15" t="s">
        <v>212</v>
      </c>
      <c r="D17" s="11" t="s">
        <v>29</v>
      </c>
      <c r="E17" s="11" t="s">
        <v>213</v>
      </c>
      <c r="F17" s="12">
        <v>2</v>
      </c>
    </row>
    <row r="18" ht="27" spans="1:6">
      <c r="A18" s="8">
        <f t="shared" si="0"/>
        <v>17</v>
      </c>
      <c r="B18" s="13" t="s">
        <v>15</v>
      </c>
      <c r="C18" s="15" t="s">
        <v>214</v>
      </c>
      <c r="D18" s="11" t="s">
        <v>23</v>
      </c>
      <c r="E18" s="11" t="s">
        <v>215</v>
      </c>
      <c r="F18" s="12">
        <v>1</v>
      </c>
    </row>
    <row r="19" ht="40.5" spans="1:6">
      <c r="A19" s="8">
        <f t="shared" si="0"/>
        <v>18</v>
      </c>
      <c r="B19" s="14"/>
      <c r="C19" s="15" t="s">
        <v>216</v>
      </c>
      <c r="D19" s="11" t="s">
        <v>23</v>
      </c>
      <c r="E19" s="11" t="s">
        <v>217</v>
      </c>
      <c r="F19" s="12">
        <v>1</v>
      </c>
    </row>
    <row r="20" spans="1:6">
      <c r="A20" s="8">
        <f t="shared" si="0"/>
        <v>19</v>
      </c>
      <c r="B20" s="14"/>
      <c r="C20" s="15" t="s">
        <v>218</v>
      </c>
      <c r="D20" s="11" t="s">
        <v>29</v>
      </c>
      <c r="E20" s="11" t="s">
        <v>219</v>
      </c>
      <c r="F20" s="12">
        <v>1</v>
      </c>
    </row>
    <row r="21" spans="1:7">
      <c r="A21" s="8">
        <f t="shared" si="0"/>
        <v>20</v>
      </c>
      <c r="B21" s="17"/>
      <c r="C21" s="15" t="s">
        <v>220</v>
      </c>
      <c r="D21" s="11" t="s">
        <v>29</v>
      </c>
      <c r="E21" s="11" t="s">
        <v>221</v>
      </c>
      <c r="F21" s="12">
        <v>1</v>
      </c>
      <c r="G21" s="16" t="s">
        <v>222</v>
      </c>
    </row>
    <row r="22" spans="1:6">
      <c r="A22" s="8">
        <f t="shared" si="0"/>
        <v>21</v>
      </c>
      <c r="B22" s="13" t="s">
        <v>223</v>
      </c>
      <c r="C22" s="18" t="s">
        <v>224</v>
      </c>
      <c r="D22" s="11" t="s">
        <v>29</v>
      </c>
      <c r="E22" s="18" t="s">
        <v>225</v>
      </c>
      <c r="F22" s="12">
        <v>1</v>
      </c>
    </row>
    <row r="23" spans="1:6">
      <c r="A23" s="8">
        <f t="shared" si="0"/>
        <v>22</v>
      </c>
      <c r="B23" s="17"/>
      <c r="C23" s="18" t="s">
        <v>110</v>
      </c>
      <c r="D23" s="11" t="s">
        <v>29</v>
      </c>
      <c r="E23" s="18" t="s">
        <v>226</v>
      </c>
      <c r="F23" s="12">
        <v>1</v>
      </c>
    </row>
    <row r="24" spans="1:6">
      <c r="A24" s="4">
        <f t="shared" si="0"/>
        <v>23</v>
      </c>
      <c r="B24" s="5" t="s">
        <v>227</v>
      </c>
      <c r="C24" s="5" t="s">
        <v>228</v>
      </c>
      <c r="D24" s="6" t="s">
        <v>29</v>
      </c>
      <c r="E24" s="5" t="s">
        <v>229</v>
      </c>
      <c r="F24" s="7">
        <v>1</v>
      </c>
    </row>
  </sheetData>
  <mergeCells count="6">
    <mergeCell ref="B2:B5"/>
    <mergeCell ref="B6:B9"/>
    <mergeCell ref="B10:B12"/>
    <mergeCell ref="B13:B17"/>
    <mergeCell ref="B18:B21"/>
    <mergeCell ref="B22:B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3.5" outlineLevelCol="5"/>
  <cols>
    <col min="1" max="1" width="5.46666666666667" style="1" customWidth="1"/>
    <col min="2" max="2" width="17.625" customWidth="1"/>
    <col min="3" max="3" width="70.125" customWidth="1"/>
    <col min="4" max="4" width="7" customWidth="1"/>
    <col min="5" max="5" width="52.8833333333333" customWidth="1"/>
    <col min="6" max="6" width="9" style="1"/>
  </cols>
  <sheetData>
    <row r="1" spans="1:6">
      <c r="A1" s="2" t="s">
        <v>0</v>
      </c>
      <c r="B1" s="3" t="s">
        <v>95</v>
      </c>
      <c r="C1" s="3" t="s">
        <v>96</v>
      </c>
      <c r="D1" s="3" t="s">
        <v>20</v>
      </c>
      <c r="E1" s="3" t="s">
        <v>2</v>
      </c>
      <c r="F1" s="2" t="s">
        <v>97</v>
      </c>
    </row>
    <row r="2" spans="1:6">
      <c r="A2" s="4">
        <f>ROW()-1</f>
        <v>1</v>
      </c>
      <c r="B2" s="5" t="s">
        <v>15</v>
      </c>
      <c r="C2" s="5" t="s">
        <v>230</v>
      </c>
      <c r="D2" s="6" t="s">
        <v>29</v>
      </c>
      <c r="E2" s="5" t="s">
        <v>231</v>
      </c>
      <c r="F2" s="7">
        <v>1</v>
      </c>
    </row>
    <row r="3" spans="1:6">
      <c r="A3" s="4"/>
      <c r="B3" s="5"/>
      <c r="C3" s="5"/>
      <c r="D3" s="6"/>
      <c r="E3" s="5"/>
      <c r="F3" s="7"/>
    </row>
    <row r="4" spans="1:6">
      <c r="A4" s="4"/>
      <c r="B4" s="5"/>
      <c r="C4" s="5"/>
      <c r="D4" s="6"/>
      <c r="E4" s="5"/>
      <c r="F4" s="7"/>
    </row>
    <row r="5" spans="1:6">
      <c r="A5" s="4"/>
      <c r="B5" s="5"/>
      <c r="C5" s="5"/>
      <c r="D5" s="6"/>
      <c r="E5" s="5"/>
      <c r="F5" s="7"/>
    </row>
    <row r="6" spans="1:6">
      <c r="A6" s="4"/>
      <c r="B6" s="5"/>
      <c r="C6" s="5"/>
      <c r="D6" s="6"/>
      <c r="E6" s="5"/>
      <c r="F6" s="7"/>
    </row>
    <row r="7" spans="1:6">
      <c r="A7" s="4"/>
      <c r="B7" s="5"/>
      <c r="C7" s="5"/>
      <c r="D7" s="6"/>
      <c r="E7" s="5"/>
      <c r="F7" s="7"/>
    </row>
    <row r="8" spans="1:6">
      <c r="A8" s="4"/>
      <c r="B8" s="5"/>
      <c r="C8" s="5"/>
      <c r="D8" s="6"/>
      <c r="E8" s="5"/>
      <c r="F8" s="7"/>
    </row>
    <row r="9" spans="1:6">
      <c r="A9" s="4"/>
      <c r="B9" s="5"/>
      <c r="C9" s="5"/>
      <c r="D9" s="6"/>
      <c r="E9" s="5"/>
      <c r="F9" s="7"/>
    </row>
    <row r="10" spans="1:6">
      <c r="A10" s="4"/>
      <c r="B10" s="5"/>
      <c r="C10" s="5"/>
      <c r="D10" s="6"/>
      <c r="E10" s="5"/>
      <c r="F10" s="7"/>
    </row>
    <row r="11" spans="1:6">
      <c r="A11" s="4"/>
      <c r="B11" s="5"/>
      <c r="C11" s="5"/>
      <c r="D11" s="6"/>
      <c r="E11" s="5"/>
      <c r="F11" s="7"/>
    </row>
    <row r="12" spans="1:6">
      <c r="A12" s="4"/>
      <c r="B12" s="5"/>
      <c r="C12" s="5"/>
      <c r="D12" s="6"/>
      <c r="E12" s="5"/>
      <c r="F12" s="7"/>
    </row>
    <row r="13" spans="1:6">
      <c r="A13" s="4"/>
      <c r="B13" s="5"/>
      <c r="C13" s="5"/>
      <c r="D13" s="6"/>
      <c r="E13" s="5"/>
      <c r="F13" s="7"/>
    </row>
    <row r="14" spans="1:6">
      <c r="A14" s="4"/>
      <c r="B14" s="5"/>
      <c r="C14" s="5"/>
      <c r="D14" s="6"/>
      <c r="E14" s="5"/>
      <c r="F14" s="7"/>
    </row>
    <row r="15" spans="1:6">
      <c r="A15" s="4"/>
      <c r="B15" s="5"/>
      <c r="C15" s="5"/>
      <c r="D15" s="6"/>
      <c r="E15" s="5"/>
      <c r="F15" s="7"/>
    </row>
    <row r="16" spans="1:6">
      <c r="A16" s="4"/>
      <c r="B16" s="5"/>
      <c r="C16" s="5"/>
      <c r="D16" s="6"/>
      <c r="E16" s="5"/>
      <c r="F16" s="7"/>
    </row>
    <row r="17" spans="1:6">
      <c r="A17" s="4"/>
      <c r="B17" s="5"/>
      <c r="C17" s="5"/>
      <c r="D17" s="6"/>
      <c r="E17" s="5"/>
      <c r="F17" s="7"/>
    </row>
    <row r="18" spans="1:6">
      <c r="A18" s="4"/>
      <c r="B18" s="5"/>
      <c r="C18" s="5"/>
      <c r="D18" s="6"/>
      <c r="E18" s="5"/>
      <c r="F18" s="7"/>
    </row>
    <row r="19" spans="1:6">
      <c r="A19" s="4"/>
      <c r="B19" s="5"/>
      <c r="C19" s="5"/>
      <c r="D19" s="6"/>
      <c r="E19" s="5"/>
      <c r="F1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简要说明</vt:lpstr>
      <vt:lpstr>批量执行脚本提取</vt:lpstr>
      <vt:lpstr>【01_资产减值】功能改造数据脚本</vt:lpstr>
      <vt:lpstr>【02_新估值指引改造】01_功能改造数据脚本</vt:lpstr>
      <vt:lpstr>【02_新估值指引改造】02_数据移植转换</vt:lpstr>
      <vt:lpstr>【02_新估值指引改造】辅助查询</vt:lpstr>
      <vt:lpstr>【03_VAS3.0】功能改造数据脚本</vt:lpstr>
      <vt:lpstr>【04_其他】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未定义</dc:creator>
  <cp:lastModifiedBy>Administrator</cp:lastModifiedBy>
  <dcterms:created xsi:type="dcterms:W3CDTF">2021-01-18T01:52:00Z</dcterms:created>
  <dcterms:modified xsi:type="dcterms:W3CDTF">2021-05-14T03:34:12Z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1637E871BD71424FA9A873D18A7812B9</vt:lpwstr>
  </property>
</Properties>
</file>