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20"/>
  </bookViews>
  <sheets>
    <sheet name="Sheet1" sheetId="1" r:id="rId1"/>
    <sheet name="Sheet2" sheetId="2" r:id="rId2"/>
  </sheets>
  <definedNames>
    <definedName name="_xlnm._FilterDatabase" localSheetId="1" hidden="1">Sheet2!$B$2:$B$45</definedName>
  </definedNames>
  <calcPr calcId="152511"/>
</workbook>
</file>

<file path=xl/calcChain.xml><?xml version="1.0" encoding="utf-8"?>
<calcChain xmlns="http://schemas.openxmlformats.org/spreadsheetml/2006/main">
  <c r="K6" i="1" l="1"/>
  <c r="I6" i="1"/>
  <c r="K7" i="1"/>
  <c r="I7" i="1"/>
  <c r="K8" i="1" l="1"/>
  <c r="I8" i="1"/>
  <c r="K5" i="1" l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4" i="1"/>
  <c r="I5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4" i="1" l="1"/>
</calcChain>
</file>

<file path=xl/sharedStrings.xml><?xml version="1.0" encoding="utf-8"?>
<sst xmlns="http://schemas.openxmlformats.org/spreadsheetml/2006/main" count="253" uniqueCount="148">
  <si>
    <t>SQL_ID</t>
  </si>
  <si>
    <t>FILTER_TYPE</t>
  </si>
  <si>
    <t>IS_NEST</t>
  </si>
  <si>
    <t>JOIN_COLUMN_NAME</t>
  </si>
  <si>
    <t>FILTER_SQL</t>
  </si>
  <si>
    <t>','</t>
    <phoneticPr fontId="1" type="noConversion"/>
  </si>
  <si>
    <t>', 'admin', null, sysdate, 'admin', sysdate);</t>
    <phoneticPr fontId="1" type="noConversion"/>
  </si>
  <si>
    <t>SYSTEM_CODE</t>
  </si>
  <si>
    <t>PAGE_ID</t>
  </si>
  <si>
    <t>SVR</t>
    <phoneticPr fontId="1" type="noConversion"/>
  </si>
  <si>
    <t>BUSINESS_TYPE</t>
    <phoneticPr fontId="1" type="noConversion"/>
  </si>
  <si>
    <t>SvrMonthReport001</t>
    <phoneticPr fontId="1" type="noConversion"/>
  </si>
  <si>
    <t>PbcMonthReport001</t>
    <phoneticPr fontId="1" type="noConversion"/>
  </si>
  <si>
    <t>com.joyintech.tams.svreport.pbc.report.dao.PbcMonthReportMapper.searchPage</t>
    <phoneticPr fontId="1" type="noConversion"/>
  </si>
  <si>
    <t>com.joyintech.tams.svreport.chb.monthreport.dao.ChbMonthReportMapper.searchPage</t>
    <phoneticPr fontId="1" type="noConversion"/>
  </si>
  <si>
    <t>1</t>
    <phoneticPr fontId="1" type="noConversion"/>
  </si>
  <si>
    <t>1</t>
    <phoneticPr fontId="1" type="noConversion"/>
  </si>
  <si>
    <t>ProRegistCodeManage001</t>
    <phoneticPr fontId="1" type="noConversion"/>
  </si>
  <si>
    <t>com.joyintech.tams.report.submitmanagement.checkreport.dao.CheckReport001Mapper.queryPrdNameListOld</t>
    <phoneticPr fontId="1" type="noConversion"/>
  </si>
  <si>
    <t>com.joyintech.tams.report.system.proregistcodemanage.dao.ProRegistCodeManage001Mapper.queryForPage</t>
    <phoneticPr fontId="1" type="noConversion"/>
  </si>
  <si>
    <t>com.joyintech.tams.report.submitmanagement.checkreport.dao.CheckReport001Mapper.queryPrdNameList</t>
    <phoneticPr fontId="1" type="noConversion"/>
  </si>
  <si>
    <t>1</t>
    <phoneticPr fontId="1" type="noConversion"/>
  </si>
  <si>
    <t>1</t>
    <phoneticPr fontId="1" type="noConversion"/>
  </si>
  <si>
    <t>ProPeoplebankcodeManagement001</t>
    <phoneticPr fontId="1" type="noConversion"/>
  </si>
  <si>
    <t>ProPeoplebankcodeManagement001</t>
    <phoneticPr fontId="1" type="noConversion"/>
  </si>
  <si>
    <t>com.joyintech.tams.report.system.peoplebankcodepoolmanagement.dao.ProPeoplebankcodeManagement001DtoMapper.queryForPage</t>
    <phoneticPr fontId="1" type="noConversion"/>
  </si>
  <si>
    <t>com.joyintech.tams.report.system.peoplebankcodepoolmanagement.dao.ProPeoplebankcodeManagement001DtoMapper.queryInsideProdIdList</t>
    <phoneticPr fontId="1" type="noConversion"/>
  </si>
  <si>
    <t>PbcCapAssetInfo001</t>
    <phoneticPr fontId="1" type="noConversion"/>
  </si>
  <si>
    <t>com.joyintech.tams.report.system.systempbccapassetinfo.dao.PbcCapAssetInfo001DtoMapper.queryForPage</t>
    <phoneticPr fontId="1" type="noConversion"/>
  </si>
  <si>
    <t>com.joyintech.tams.report.system.systempbccapassetinfo.dao.PbcCapAssetInfo001DtoMapper.getAssetCodeList</t>
    <phoneticPr fontId="1" type="noConversion"/>
  </si>
  <si>
    <t>com.joyintech.tams.report.system.systempbccapassetinfo.dao.PbcCapAssetInfo001DtoMapper.setPobCasSeTidList</t>
    <phoneticPr fontId="1" type="noConversion"/>
  </si>
  <si>
    <t>com.joyintech.tams.report.system.proregistcodemanage.dao.ProRegistCodeManage001Mapper.queryPrdRegList</t>
    <phoneticPr fontId="1" type="noConversion"/>
  </si>
  <si>
    <t>SvrProdDurationReg001</t>
    <phoneticPr fontId="1" type="noConversion"/>
  </si>
  <si>
    <t>com.joyintech.tams.svreport.chb.prodraisetotalregist.dao.RaiseTotalRegist001Mapper.selectAllData</t>
    <phoneticPr fontId="1" type="noConversion"/>
  </si>
  <si>
    <t>SvrRaiseTotalRegist001</t>
    <phoneticPr fontId="1" type="noConversion"/>
  </si>
  <si>
    <t>SvrProdTerminationRegist001</t>
    <phoneticPr fontId="1" type="noConversion"/>
  </si>
  <si>
    <t>com.joyintech.tams.svreport.chb.prodterminationregist.dao.ProdTerminationRegist001Mapper.selectAllData</t>
    <phoneticPr fontId="1" type="noConversion"/>
  </si>
  <si>
    <t>SvrChbAstValueRegist001</t>
    <phoneticPr fontId="1" type="noConversion"/>
  </si>
  <si>
    <t>com.joyintech.tams.svreport.chb.astvalueregist.dao.ChbAstValueRegist001Mapper.searchPage</t>
    <phoneticPr fontId="1" type="noConversion"/>
  </si>
  <si>
    <t>SvrInvestTradeRegist001</t>
    <phoneticPr fontId="1" type="noConversion"/>
  </si>
  <si>
    <t>PbcPrdBaseinfoSub</t>
    <phoneticPr fontId="1" type="noConversion"/>
  </si>
  <si>
    <t>com.joyintech.tams.svreport.pbc.classic.prdbaseinfosub.dao.PbcPrdBaseinfoSubMapper.searchPage</t>
    <phoneticPr fontId="1" type="noConversion"/>
  </si>
  <si>
    <t>PbcPrdInitRaiseSub</t>
    <phoneticPr fontId="1" type="noConversion"/>
  </si>
  <si>
    <t>com.joyintech.tams.svreport.pbc.classic.prdinitraisesub.dao.PbcInitProdRaisingSubMapper.searchPage</t>
    <phoneticPr fontId="1" type="noConversion"/>
  </si>
  <si>
    <t>com.joyintech.tams.svreport.pbc.classic.prdinfoendsub.dao.PbcPrdBaseinfoEndSubMapper.searchPage</t>
    <phoneticPr fontId="1" type="noConversion"/>
  </si>
  <si>
    <t>PbcPrdBaseinfoEndSub</t>
    <phoneticPr fontId="1" type="noConversion"/>
  </si>
  <si>
    <t>PbcPrdCashRaiseSub</t>
    <phoneticPr fontId="1" type="noConversion"/>
  </si>
  <si>
    <t>com.joyintech.tams.svreport.pbc.classic.prdcashraisesub.dao.PbcProdRaiseSubMapper.searchPageForOnePrd</t>
    <phoneticPr fontId="1" type="noConversion"/>
  </si>
  <si>
    <t>PbcPrdAccountSub</t>
    <phoneticPr fontId="1" type="noConversion"/>
  </si>
  <si>
    <t>PbcPrdAccountEndSub</t>
    <phoneticPr fontId="1" type="noConversion"/>
  </si>
  <si>
    <t>com.joyintech.tams.svreport.pbc.classic.prdaccountendsub.dao.PbcPrdAccountEndSubMapper.searchPage</t>
    <phoneticPr fontId="1" type="noConversion"/>
  </si>
  <si>
    <t>PbcPrdAssetDebtSub</t>
    <phoneticPr fontId="1" type="noConversion"/>
  </si>
  <si>
    <t>com.joyintech.tams.svreport.pbc.report.dao.PbcMonthReportMapper.searchPageForOnePrd</t>
    <phoneticPr fontId="1" type="noConversion"/>
  </si>
  <si>
    <t>insert into data_auth_mapper_config (SQL_ID, FILTER_TYPE, IS_NEST, JOIN_COLUMN_NAME, FILTER_SQL, SYSTEM_CODE, PAGE_ID,DATA_TYPE,CREATE_USER, CREATE_DEPT, CREATE_TIME, UPDATE_USER, UPDATE_TIME) values ('</t>
    <phoneticPr fontId="1" type="noConversion"/>
  </si>
  <si>
    <t>01</t>
    <phoneticPr fontId="1" type="noConversion"/>
  </si>
  <si>
    <t>com.joyintech.tams.svreport.chb.perprodeclarereg.dao.PerProDeclareReg001Mapper.selectAllData</t>
    <phoneticPr fontId="1" type="noConversion"/>
  </si>
  <si>
    <t>SvrPerProDeclareReg001</t>
    <phoneticPr fontId="1" type="noConversion"/>
  </si>
  <si>
    <t>com.joyintech.tams.svreport.pbc.classic.prdacccountsub.dao.PbcPrdAccountSubMapper.searchPage</t>
    <phoneticPr fontId="1" type="noConversion"/>
  </si>
  <si>
    <t>com.joyintech.tams.report.submitmanagement.checkreport.dao.ProRegistCodeManage001Mapper.getProdinfo</t>
    <phoneticPr fontId="1" type="noConversion"/>
  </si>
  <si>
    <t>select * from ( %s ) b where b.DEPT_CODE in %s</t>
  </si>
  <si>
    <t>com.joyintech.tams.report.system.proregistcodemanage.dao.ProRegistCodeManage001Mapper.getProdinfo</t>
    <phoneticPr fontId="1" type="noConversion"/>
  </si>
  <si>
    <t>1、中债登记批处理中,募集总量登记、终止登记、发行登记,申报登记使用的银行机构编码为批处理跑批中处理,登记编码目前使用默认.要改造为每个产品查询归属机构然后再去找对应的机构编码?</t>
    <phoneticPr fontId="1" type="noConversion"/>
  </si>
  <si>
    <t>2、接口文件:CHB_AST_VAL、CHB_ASSETS_BASIS_DATA、CHB_ASSET_INFO、CHB_BOT_AST_POS、CHB_INVEST_TRADE、CHB_PRD_DEAL内容中有登记编码的处理..后续</t>
    <phoneticPr fontId="1" type="noConversion"/>
  </si>
  <si>
    <t>SvrProdPersonIssue001</t>
    <phoneticPr fontId="1" type="noConversion"/>
  </si>
  <si>
    <t>com.joyintech.tams.svreport.chb.prodpersonissue.dao.ProdPersonIssue001Mapper.queryForProdPersonIssuePage</t>
    <phoneticPr fontId="1" type="noConversion"/>
  </si>
  <si>
    <t>JYBOND201905301158</t>
  </si>
  <si>
    <t>JYBOND201906071162</t>
  </si>
  <si>
    <t>JYZZGL201905300046</t>
  </si>
  <si>
    <t>JYFUND201905300820</t>
  </si>
  <si>
    <t>JYZZGL201906070050</t>
  </si>
  <si>
    <t>JYZZGL201905300042</t>
  </si>
  <si>
    <t>JYFUND201906100840</t>
  </si>
  <si>
    <t>JYFUND201905300795</t>
  </si>
  <si>
    <t>JYFUND201906100836</t>
  </si>
  <si>
    <t>JYBOND201905301164</t>
  </si>
  <si>
    <t>JYFUND201905300803</t>
  </si>
  <si>
    <t>CASF201905300204</t>
  </si>
  <si>
    <t>JYFUND201905300822</t>
  </si>
  <si>
    <t>JYBOND201906061166</t>
  </si>
  <si>
    <t>JYFUND201905300845</t>
  </si>
  <si>
    <t>JYFUND201905300830</t>
  </si>
  <si>
    <t>JYBOND201906071160</t>
  </si>
  <si>
    <t>JYZZGL201905300048</t>
  </si>
  <si>
    <t>JYZZGL201906060053</t>
  </si>
  <si>
    <t>JYFUND201905300797</t>
  </si>
  <si>
    <t>JYFUND201905300799</t>
  </si>
  <si>
    <t>CASF201905300223</t>
  </si>
  <si>
    <t>CASF201906060246</t>
  </si>
  <si>
    <t>JYFUND201905310815</t>
  </si>
  <si>
    <t>JYFUND201905300801</t>
  </si>
  <si>
    <t>CASF201906060244</t>
  </si>
  <si>
    <t>CASF201905300224</t>
  </si>
  <si>
    <t>JYZZGL201905300044</t>
  </si>
  <si>
    <t>JYGMJH201905300227</t>
  </si>
  <si>
    <t>JYFUND201906100824</t>
  </si>
  <si>
    <t>JYFUND201905300853</t>
  </si>
  <si>
    <t>CASF201906060245</t>
  </si>
  <si>
    <t>CASF201906070243</t>
  </si>
  <si>
    <t>CASF201905300203</t>
  </si>
  <si>
    <t>com.joyintech.tams.svreport.chb.botastpositionregist.dao.ChbBotAstPositionRegist001Mapper.searchPage</t>
    <phoneticPr fontId="1" type="noConversion"/>
  </si>
  <si>
    <t>com.joyintech.tams.svreport.chb.investtradereg.dao.InvestTradeRegist001Mapper.selectAllData</t>
    <phoneticPr fontId="1" type="noConversion"/>
  </si>
  <si>
    <t>com.joyintech.tams.svreport.chb.investtradereg.dao.InvestTradeRegist001Mapper.selectTradeNoCodeList</t>
    <phoneticPr fontId="1" type="noConversion"/>
  </si>
  <si>
    <t>select b.* from ( %s ) b  where b.orgCode in %s</t>
    <phoneticPr fontId="1" type="noConversion"/>
  </si>
  <si>
    <t>select * from ( %s ) b LEFT JOIN (select f.finprod_market_id,di.institution_code,di.belong_institution_code belongInstitutionCode,di.model_type from fin_product f left join DATA_AUTH_NOTIFY_INST di on f.finprod_id=di.business_id and di.model_type = ''02''  and di.data_type = ''FINPROD04'') di on di.finprod_market_id = b.prodId  where di.institution_code in %s</t>
    <phoneticPr fontId="1" type="noConversion"/>
  </si>
  <si>
    <t>com.joyintech.tams.report.system.proregistcodemanage.dao.ProRegistCodeManage001Mapper.queryForPageOld</t>
    <phoneticPr fontId="1" type="noConversion"/>
  </si>
  <si>
    <t>com.joyintech.tams.svreport.pbc.classic.prdacccountsub.dao.PbcPrdAccountSubMapper.queryAllPbcAssetBaseInfo</t>
    <phoneticPr fontId="1" type="noConversion"/>
  </si>
  <si>
    <t>1</t>
    <phoneticPr fontId="1" type="noConversion"/>
  </si>
  <si>
    <t>01</t>
    <phoneticPr fontId="1" type="noConversion"/>
  </si>
  <si>
    <t>insert into data_auth_mapper_config (SQL_ID, FILTER_TYPE, IS_NEST, JOIN_COLUMN_NAME, FILTER_SQL, SYSTEM_CODE, PAGE_ID,DATA_TYPE,CREATE_USER, CREATE_DEPT, CREATE_TIME, UPDATE_USER, UPDATE_TIME) values ('com.joyintech.tams.svreport.pbc.classic.prdacccountsub.dao.PbcPrdAccountSubMapper.queryAllPbcAssetBaseInfo','1','01','','select * from ( %s )  b LEFT JOIN ( select S.PBC_ACCOUNT_ID,di.institution_code  from PBC_PRD_ACCOUNT_SUB s LEFT JOIN fin_product f ON S.ACCOUNT_ID=F.FINPROD_MARKET_ID left join DATA_AUTH_NOTIFY_INST di on f.finprod_id=di.business_id and di.model_type = ''02'') di  on di.PBC_ACCOUNT_ID = b.PBC_ACCOUNT_ID where di.institution_code in %s','SVR','PbcPrdAccountSub','', 'admin', null, sysdate, 'admin', sysdate);</t>
  </si>
  <si>
    <t>DELETE FROM data_auth_mapper_config WHERE SQL_ID =  'com.joyintech.tams.svreport.pbc.classic.prdacccountsub.dao.PbcPrdAccountSubMapper.queryAllPbcAssetBaseInfo';</t>
  </si>
  <si>
    <t>com.joyintech.tams.svreport.pbc.classic.prdacccountsub.dao.PbcPrdAccountSubMapper.queryAllPbcPrdBaseInfo</t>
    <phoneticPr fontId="1" type="noConversion"/>
  </si>
  <si>
    <t>01</t>
    <phoneticPr fontId="1" type="noConversion"/>
  </si>
  <si>
    <t>insert into data_auth_mapper_config (SQL_ID, FILTER_TYPE, IS_NEST, JOIN_COLUMN_NAME, FILTER_SQL, SYSTEM_CODE, PAGE_ID,DATA_TYPE,CREATE_USER, CREATE_DEPT, CREATE_TIME, UPDATE_USER, UPDATE_TIME) values ('com.joyintech.tams.svreport.pbc.classic.prdacccountsub.dao.PbcPrdAccountSubMapper.queryAllPbcPrdBaseInfo','1','01','','select * from ( %s ) b LEFT JOIN (select f.finprod_market_id,di.institution_code from fin_product f left join DATA_AUTH_NOTIFY_INST di on f.finprod_id=di.business_id and di.model_type = ''02'') di on di.finprod_market_id = b.PROD_ID  where di.institution_code in %s','','PbcPrdAccountSub','', 'admin', null, sysdate, 'admin', sysdate);</t>
  </si>
  <si>
    <t>DELETE FROM data_auth_mapper_config WHERE SQL_ID =  'com.joyintech.tams.svreport.pbc.classic.prdacccountsub.dao.PbcPrdAccountSubMapper.queryAllPbcPrdBaseInfo';</t>
  </si>
  <si>
    <t>PbcPrdAccountSub</t>
    <phoneticPr fontId="1" type="noConversion"/>
  </si>
  <si>
    <t>com.joyintech.tams.svreport.pbc.classic.prdbaseinfosub.dao.PbcPrdBaseinfoSubMapper.queryAllPbcPrdBaseInfo</t>
    <phoneticPr fontId="1" type="noConversion"/>
  </si>
  <si>
    <t>insert into data_auth_mapper_config (SQL_ID, FILTER_TYPE, IS_NEST, JOIN_COLUMN_NAME, FILTER_SQL, SYSTEM_CODE, PAGE_ID,DATA_TYPE,CREATE_USER, CREATE_DEPT, CREATE_TIME, UPDATE_USER, UPDATE_TIME) values ('com.joyintech.tams.svreport.pbc.classic.prdbaseinfosub.dao.PbcPrdBaseinfoSubMapper.queryAllPbcPrdBaseInfo','1','01','','select * from ( %s ) b LEFT JOIN (select f.finprod_market_id,di.institution_code from fin_product f left join DATA_AUTH_NOTIFY_INST di on f.finprod_id=di.business_id and di.model_type = ''02'') di on di.finprod_market_id = b.PROD_ID  where di.institution_code in %s','','PbcPrdAccountSub','', 'admin', null, sysdate, 'admin', sysdate);</t>
  </si>
  <si>
    <t>DELETE FROM data_auth_mapper_config WHERE SQL_ID =  'com.joyintech.tams.svreport.pbc.classic.prdbaseinfosub.dao.PbcPrdBaseinfoSubMapper.queryAllPbcPrdBaseInfo';</t>
  </si>
  <si>
    <t>SVR</t>
    <phoneticPr fontId="1" type="noConversion"/>
  </si>
  <si>
    <t>SvrChbBotAstPositionRegist001</t>
    <phoneticPr fontId="1" type="noConversion"/>
  </si>
  <si>
    <t>01</t>
    <phoneticPr fontId="1" type="noConversion"/>
  </si>
  <si>
    <t>insert into data_auth_mapper_config (SQL_ID, FILTER_TYPE, IS_NEST, JOIN_COLUMN_NAME, FILTER_SQL, SYSTEM_CODE, PAGE_ID,DATA_TYPE,CREATE_USER, CREATE_DEPT, CREATE_TIME, UPDATE_USER, UPDATE_TIME) values ('com.joyintech.tams.svreport.chb.botastpositionregist.dao.ChbBotAstPositionRegist001Mapper.searchPage','1','01','','select * from ( %s ) b LEFT JOIN (select f.finprod_market_id,di.institution_code  from fin_product f left join DATA_AUTH_NOTIFY_INST di on f.finprod_id=di.business_id and di.model_type = ''02'') di on di.finprod_market_id = b.planAssetId where di.institution_code in %s','SVR','SvrChbBotAstPositionRegist001','', 'admin', null, sysdate, 'admin', sysdate);</t>
  </si>
  <si>
    <t>DELETE FROM data_auth_mapper_config WHERE SQL_ID =  'com.joyintech.tams.svreport.chb.botastpositionregist.dao.ChbBotAstPositionRegist001Mapper.searchPage';</t>
  </si>
  <si>
    <t>select * from ( %s ) b LEFT JOIN DATA_AUTH_NOTIFY_INST di on di.finprod_market_id = b.planAssetId AND DI.MODEL_TYPE=''02'' where di.institution_code in %s</t>
    <phoneticPr fontId="1" type="noConversion"/>
  </si>
  <si>
    <t>select * from ( %s ) b LEFT JOIN (select f.finprod_market_id,di.institution_code from fin_product f left join DATA_AUTH_NOTIFY_INST di on f.finprod_id=di.business_id and di.model_type = ''02'' and DI.DATA_TYPE=''FINPROD04'') di on di.finprod_market_id = b.PROD_ID  where di.institution_code in %s</t>
    <phoneticPr fontId="1" type="noConversion"/>
  </si>
  <si>
    <t>select * from ( %s )  b LEFT JOIN ( select S.PBC_ACCOUNT_ID,di.institution_code  from PBC_PRD_ACCOUNT_SUB s LEFT JOIN fin_product f ON S.ACCOUNT_ID=F.FINPROD_MARKET_ID left join DATA_AUTH_NOTIFY_INST di on f.finprod_id=di.business_id and di.model_type = ''02'' and DI.DATA_TYPE=''FINPROD04'') di  on di.PBC_ACCOUNT_ID = b.PBC_ACCOUNT_ID where di.institution_code in %s</t>
    <phoneticPr fontId="1" type="noConversion"/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</si>
  <si>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b.ACCOUNT_ID where di.institution_code in %s</t>
    <phoneticPr fontId="1" type="noConversion"/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</si>
  <si>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b.accountId where di.institution_code in %s</t>
    <phoneticPr fontId="1" type="noConversion"/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</si>
  <si>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b.accountId  where di.institution_code in %s</t>
    <phoneticPr fontId="1" type="noConversion"/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</si>
  <si>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</t>
    <phoneticPr fontId="1" type="noConversion"/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</si>
  <si>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</t>
    <phoneticPr fontId="1" type="noConversion"/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</si>
  <si>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</t>
    <phoneticPr fontId="1" type="noConversion"/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</si>
  <si>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b.assetCode where di.institution_code in %s</t>
    <phoneticPr fontId="1" type="noConversion"/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</si>
  <si>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</t>
    <phoneticPr fontId="1" type="noConversion"/>
  </si>
  <si>
    <t>select * from ( %s ) b LEFT JOIN (select f.finprod_market_id,di.institution_code,di.belong_institution_code belongInstitutionCode,di.model_type from fin_product f left join DATA_AUTH_NOTIFY_INST di on f.finprod_id=di.business_id and di.model_type = ''02'' and DI.DATA_TYPE = ''FINPROD04'') di on di.finprod_market_id = b.prodId  where di.institution_code in %s</t>
    <phoneticPr fontId="1" type="noConversion"/>
  </si>
  <si>
    <t>select * from ( %s ) b LEFT JOIN (select f.finprod_market_id,di.institution_code from fin_product f left join DATA_AUTH_NOTIFY_INST di on f.finprod_id=di.business_id and di.model_type = ''02'' and DI.DATA_TYPE = ''FINPROD04'') di on di.finprod_market_id = b.insideProdId  where di.institution_code in %s</t>
    <phoneticPr fontId="1" type="noConversion"/>
  </si>
  <si>
    <t>select * from ( %s ) b LEFT JOIN (select f.finprod_market_id,di.institution_code  from fin_product f left join DATA_AUTH_NOTIFY_INST di on f.finprod_id=di.business_id and di.model_type = ''02'' and DI.DATA_TYPE = ''FINPROD04'') di on di.finprod_market_id = b.id where di.institution_code in %s</t>
    <phoneticPr fontId="1" type="noConversion"/>
  </si>
  <si>
    <t>select * from ( %s ) b LEFT JOIN (select f.finprod_market_id,di.institution_code from fin_product f left join DATA_AUTH_NOTIFY_INST di on f.finprod_id=di.business_id and di.model_type = ''02'' and DI.DATA_TYPE = ''FINPROD04'') di on di.finprod_market_id = b.assetCode where di.institution_code in %s</t>
    <phoneticPr fontId="1" type="noConversion"/>
  </si>
  <si>
    <t>select * from ( %s ) b LEFT JOIN (select f.finprod_market_id,di.institution_code from fin_product f left join DATA_AUTH_NOTIFY_INST di on f.finprod_id=di.business_id and di.model_type = ''02'' and DI.DATA_TYPE = ''FINPROD04'') di on di.finprod_market_id = b.id where di.institution_code in %s</t>
    <phoneticPr fontId="1" type="noConversion"/>
  </si>
  <si>
    <t>select * from ( %s ) b LEFT JOIN (select p.pobcassetid finprod_market_id,di.institution_code from PBC_CAP_ASSET_INFO p left join fin_product f on p.assetid=f.finprod_market_id left join DATA_AUTH_NOTIFY_INST di on f.finprod_id=di.business_id and di.model_type = ''02'' and DI.DATA_TYPE = ''FINPROD04'') di on di.finprod_market_id = b.id where di.institution_code in %s</t>
    <phoneticPr fontId="1" type="noConversion"/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</si>
  <si>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</t>
    <phoneticPr fontId="1" type="noConversion"/>
  </si>
  <si>
    <t>com.joyintech.tams.svreport.chb.proddurationreg.dao.ProdDurationReg001Mapper.selectAllData</t>
    <phoneticPr fontId="1" type="noConversion"/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</si>
  <si>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</t>
    <phoneticPr fontId="1" type="noConversion"/>
  </si>
  <si>
    <t>select * from ( %s ) b LEFT JOIN (select c.REG_CODE finprod_market_id,di.institution_code from CHB_PRDRESIST_CODE c left join fin_product f on c.prodid=f.finprod_market_id left join DATA_AUTH_NOTIFY_INST di on f.finprod_id=di.business_id and di.model_type = ''02'' and DI.DATA_TYPE=''FINPROD04'') di on di.finprod_market_id = b.id where di.institution_code in %s</t>
    <phoneticPr fontId="1" type="noConversion"/>
  </si>
  <si>
    <t>select * from ( %s ) b LEFT JOIN (select f.finprod_market_id,di.institution_code from fin_product f left join DATA_AUTH_NOTIFY_INST di on f.finprod_id=di.business_id and di.model_type = ''02'' and DI.DATA_TYPE=''FINPROD04'') di on di.finprod_market_id = b.code where di.institution_code in %s</t>
    <phoneticPr fontId="1" type="noConversion"/>
  </si>
  <si>
    <t>select * from ( %s ) b LEFT JOIN (select f.finprod_market_id,di.institution_code from fin_product f left join DATA_AUTH_NOTIFY_INST di on f.finprod_id=di.business_id and di.model_type = ''02'' and DI.DATA_TYPE=''FINPROD04'') di on di.finprod_market_id = b.prod_id where di.institution_code in %s</t>
    <phoneticPr fontId="1" type="noConversion"/>
  </si>
  <si>
    <t>select * from ( %s ) b LEFT JOIN (select f.finprod_market_id,di.institution_code from fin_product f left join DATA_AUTH_NOTIFY_INST di on f.finprod_id=di.business_id and di.model_type = ''02'' and DI.DATA_TYPE=''FINPROD04'') di on di.finprod_market_id = b.prod_id where di.institution_code in %s</t>
    <phoneticPr fontId="1" type="noConversion"/>
  </si>
  <si>
    <t>select * from ( %s ) b LEFT JOIN (select di.INSTITUTION_CODE,d.trade_code from(select DISTINCT trade_code,prod_id from CHB_INVEST_TRADE union all select DISTINCT trade_id trade_code,prod_id from chb_prd_fee_deal where 1 = 1 and FEE_TYPE = ''02'' ) d left join fin_product f on f.finprod_market_id=d.prod_id left join DATA_AUTH_NOTIFY_INST di on di.business_id=f.finprod_id and di.model_type=''02'' and DI.DATA_TYPE=''FINPROD04'') di on di.trade_code = b.id where di.institution_code in %s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</si>
</sst>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indexed="64"/>
      <name val="Microsoft Sans Serif"/>
      <family val="2"/>
    </font>
    <font>
      <sz val="11"/>
      <color indexed="64"/>
      <name val="Microsoft Sans Serif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NumberFormat="1" applyFont="1"/>
    <xf numFmtId="49" fontId="3" fillId="0" borderId="0" xfId="0" applyNumberFormat="1" applyFont="1"/>
    <xf numFmtId="0" fontId="0" fillId="0" borderId="0" xfId="0" quotePrefix="1"/>
    <xf numFmtId="49" fontId="3" fillId="0" borderId="0" xfId="0" applyNumberFormat="1" applyFont="1" applyAlignment="1">
      <alignment wrapText="1"/>
    </xf>
    <xf numFmtId="49" fontId="3" fillId="0" borderId="0" xfId="0" applyNumberFormat="1" applyFont="1" applyAlignment="1"/>
    <xf numFmtId="0" fontId="0" fillId="0" borderId="0" xfId="0" applyAlignment="1"/>
    <xf numFmtId="49" fontId="3" fillId="2" borderId="0" xfId="0" applyNumberFormat="1" applyFont="1" applyFill="1" applyAlignment="1">
      <alignment wrapText="1"/>
    </xf>
    <xf numFmtId="0" fontId="0" fillId="2" borderId="0" xfId="0" applyFill="1"/>
    <xf numFmtId="49" fontId="3" fillId="2" borderId="0" xfId="0" applyNumberFormat="1" applyFont="1" applyFill="1"/>
    <xf numFmtId="49" fontId="3" fillId="3" borderId="0" xfId="0" applyNumberFormat="1" applyFont="1" applyFill="1" applyAlignment="1">
      <alignment wrapText="1"/>
    </xf>
    <xf numFmtId="0" fontId="0" fillId="3" borderId="0" xfId="0" applyFill="1"/>
    <xf numFmtId="49" fontId="3" fillId="3" borderId="0" xfId="0" applyNumberFormat="1" applyFont="1" applyFill="1"/>
    <xf numFmtId="49" fontId="3" fillId="3" borderId="0" xfId="0" applyNumberFormat="1" applyFont="1" applyFill="1" applyAlignment="1"/>
    <xf numFmtId="49" fontId="3" fillId="2" borderId="0" xfId="0" applyNumberFormat="1" applyFont="1" applyFill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topLeftCell="A4" workbookViewId="0">
      <selection activeCell="G6" sqref="G6"/>
    </sheetView>
  </sheetViews>
  <sheetFormatPr defaultRowHeight="14" x14ac:dyDescent="0.25"/>
  <cols>
    <col min="1" max="1" width="16.90625" customWidth="1"/>
    <col min="2" max="2" width="25.1796875" customWidth="1"/>
    <col min="3" max="3" width="16.08984375" customWidth="1"/>
    <col min="4" max="4" width="14.90625" customWidth="1"/>
    <col min="5" max="5" width="10.453125" customWidth="1"/>
    <col min="6" max="6" width="16.1796875" customWidth="1"/>
    <col min="7" max="7" width="14" customWidth="1"/>
    <col min="8" max="8" width="19" customWidth="1"/>
  </cols>
  <sheetData>
    <row r="1" spans="1:11" x14ac:dyDescent="0.25">
      <c r="F1" s="3" t="s">
        <v>6</v>
      </c>
      <c r="G1" s="3" t="s">
        <v>5</v>
      </c>
      <c r="H1" s="3"/>
      <c r="J1" t="s">
        <v>53</v>
      </c>
    </row>
    <row r="3" spans="1:11" ht="14.5" x14ac:dyDescent="0.3">
      <c r="A3" s="1" t="s">
        <v>7</v>
      </c>
      <c r="B3" s="1" t="s">
        <v>8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10</v>
      </c>
    </row>
    <row r="4" spans="1:11" ht="18" customHeight="1" x14ac:dyDescent="0.3">
      <c r="A4" s="4" t="s">
        <v>9</v>
      </c>
      <c r="B4" s="4" t="s">
        <v>12</v>
      </c>
      <c r="C4" s="4" t="s">
        <v>13</v>
      </c>
      <c r="D4" s="2" t="s">
        <v>15</v>
      </c>
      <c r="E4" s="2" t="s">
        <v>54</v>
      </c>
      <c r="F4" s="2"/>
      <c r="G4" s="5" t="s">
        <v>59</v>
      </c>
      <c r="H4" s="2"/>
      <c r="I4" t="str">
        <f>$J$1&amp;C4&amp;$G$1&amp;D4&amp;$G$1&amp;E4&amp;$G$1&amp;F4&amp;$G$1&amp;G4&amp;$G$1&amp;A4&amp;$G$1&amp;B4&amp;$G$1&amp;H4&amp;$F$1</f>
        <v>insert into data_auth_mapper_config (SQL_ID, FILTER_TYPE, IS_NEST, JOIN_COLUMN_NAME, FILTER_SQL, SYSTEM_CODE, PAGE_ID,DATA_TYPE,CREATE_USER, CREATE_DEPT, CREATE_TIME, UPDATE_USER, UPDATE_TIME) values ('com.joyintech.tams.svreport.pbc.report.dao.PbcMonthReportMapper.searchPage','1','01','','select * from ( %s ) b where b.DEPT_CODE in %s','SVR','PbcMonthReport001','', 'admin', null, sysdate, 'admin', sysdate);</v>
      </c>
      <c r="K4" t="str">
        <f>CONCATENATE("DELETE FROM data_auth_mapper_config WHERE SQL_ID =  '",C4,"';")</f>
        <v>DELETE FROM data_auth_mapper_config WHERE SQL_ID =  'com.joyintech.tams.svreport.pbc.report.dao.PbcMonthReportMapper.searchPage';</v>
      </c>
    </row>
    <row r="5" spans="1:11" ht="14.5" x14ac:dyDescent="0.3">
      <c r="A5" s="4" t="s">
        <v>9</v>
      </c>
      <c r="B5" s="5" t="s">
        <v>11</v>
      </c>
      <c r="C5" s="5" t="s">
        <v>14</v>
      </c>
      <c r="D5" s="2" t="s">
        <v>16</v>
      </c>
      <c r="E5" s="2" t="s">
        <v>54</v>
      </c>
      <c r="F5" s="2"/>
      <c r="G5" s="5" t="s">
        <v>102</v>
      </c>
      <c r="H5" s="2"/>
      <c r="I5" t="str">
        <f t="shared" ref="I5:I32" si="0">$J$1&amp;C5&amp;$G$1&amp;D5&amp;$G$1&amp;E5&amp;$G$1&amp;F5&amp;$G$1&amp;G5&amp;$G$1&amp;A5&amp;$G$1&amp;B5&amp;$G$1&amp;H5&amp;$F$1</f>
        <v>insert into data_auth_mapper_config (SQL_ID, FILTER_TYPE, IS_NEST, JOIN_COLUMN_NAME, FILTER_SQL, SYSTEM_CODE, PAGE_ID,DATA_TYPE,CREATE_USER, CREATE_DEPT, CREATE_TIME, UPDATE_USER, UPDATE_TIME) values ('com.joyintech.tams.svreport.chb.monthreport.dao.ChbMonthReportMapper.searchPage','1','01','','select b.* from ( %s ) b  where b.orgCode in %s','SVR','SvrMonthReport001','', 'admin', null, sysdate, 'admin', sysdate);</v>
      </c>
      <c r="K5" t="str">
        <f t="shared" ref="K5:K32" si="1">CONCATENATE("DELETE FROM data_auth_mapper_config WHERE SQL_ID =  '",C5,"';")</f>
        <v>DELETE FROM data_auth_mapper_config WHERE SQL_ID =  'com.joyintech.tams.svreport.chb.monthreport.dao.ChbMonthReportMapper.searchPage';</v>
      </c>
    </row>
    <row r="6" spans="1:11" ht="14.5" x14ac:dyDescent="0.3">
      <c r="A6" s="4" t="s">
        <v>9</v>
      </c>
      <c r="B6" t="s">
        <v>17</v>
      </c>
      <c r="C6" s="5" t="s">
        <v>101</v>
      </c>
      <c r="D6" s="2" t="s">
        <v>15</v>
      </c>
      <c r="E6" s="2" t="s">
        <v>54</v>
      </c>
      <c r="F6" s="2"/>
      <c r="G6" s="5" t="s">
        <v>147</v>
      </c>
      <c r="H6" s="2"/>
      <c r="I6" t="str">
        <f t="shared" ref="I6" si="2">$J$1&amp;C6&amp;$G$1&amp;D6&amp;$G$1&amp;E6&amp;$G$1&amp;F6&amp;$G$1&amp;G6&amp;$G$1&amp;A6&amp;$G$1&amp;B6&amp;$G$1&amp;H6&amp;$F$1</f>
        <v>insert into data_auth_mapper_config (SQL_ID, FILTER_TYPE, IS_NEST, JOIN_COLUMN_NAME, FILTER_SQL, SYSTEM_CODE, PAGE_ID,DATA_TYPE,CREATE_USER, CREATE_DEPT, CREATE_TIME, UPDATE_USER, UPDATE_TIME) values ('com.joyintech.tams.svreport.chb.investtradereg.dao.InvestTradeRegist001Mapper.selectTradeNoCodeList','1','01','','select * from ( %s ) b LEFT JOIN (select di.INSTITUTION_CODE,d.trade_code from(select DISTINCT trade_code,prod_id from CHB_INVEST_TRADE union all select DISTINCT trade_id trade_code,prod_id from chb_prd_fee_deal where 1 = 1 and FEE_TYPE = ''02'' ) d left join fin_product f on f.finprod_market_id=d.prod_id left join DATA_AUTH_NOTIFY_INST di on di.business_id=f.finprod_id and di.model_type=''02'' and DI.DATA_TYPE=''FINPROD04'') di on di.trade_code = b.id where di.institution_code in %s','SVR','ProRegistCodeManage001','', 'admin', null, sysdate, 'admin', sysdate);</v>
      </c>
      <c r="K6" t="str">
        <f t="shared" ref="K6" si="3">CONCATENATE("DELETE FROM data_auth_mapper_config WHERE SQL_ID =  '",C6,"';")</f>
        <v>DELETE FROM data_auth_mapper_config WHERE SQL_ID =  'com.joyintech.tams.svreport.chb.investtradereg.dao.InvestTradeRegist001Mapper.selectTradeNoCodeList';</v>
      </c>
    </row>
    <row r="7" spans="1:11" ht="14.5" x14ac:dyDescent="0.3">
      <c r="A7" s="4" t="s">
        <v>9</v>
      </c>
      <c r="B7" t="s">
        <v>17</v>
      </c>
      <c r="C7" s="5" t="s">
        <v>60</v>
      </c>
      <c r="D7" s="2" t="s">
        <v>15</v>
      </c>
      <c r="E7" s="2" t="s">
        <v>54</v>
      </c>
      <c r="F7" s="2"/>
      <c r="G7" s="5" t="s">
        <v>146</v>
      </c>
      <c r="H7" s="2"/>
      <c r="I7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('com.joyintech.tams.report.system.proregistcodemanage.dao.ProRegistCodeManage001Mapper.getProdinfo','1','01','','select * from ( %s ) b LEFT JOIN (select f.finprod_market_id,di.institution_code from fin_product f left join DATA_AUTH_NOTIFY_INST di on f.finprod_id=di.business_id and di.model_type = ''02'' and DI.DATA_TYPE=''FINPROD04'') di on di.finprod_market_id = b.prod_id where di.institution_code in %s','SVR','ProRegistCodeManage001','', 'admin', null, sysdate, 'admin', sysdate);</v>
      </c>
      <c r="K7" t="str">
        <f t="shared" si="1"/>
        <v>DELETE FROM data_auth_mapper_config WHERE SQL_ID =  'com.joyintech.tams.report.system.proregistcodemanage.dao.ProRegistCodeManage001Mapper.getProdinfo';</v>
      </c>
    </row>
    <row r="8" spans="1:11" ht="14.5" x14ac:dyDescent="0.3">
      <c r="A8" s="4" t="s">
        <v>9</v>
      </c>
      <c r="B8" t="s">
        <v>17</v>
      </c>
      <c r="C8" s="5" t="s">
        <v>58</v>
      </c>
      <c r="D8" s="2" t="s">
        <v>15</v>
      </c>
      <c r="E8" s="2" t="s">
        <v>54</v>
      </c>
      <c r="F8" s="2"/>
      <c r="G8" s="5" t="s">
        <v>145</v>
      </c>
      <c r="H8" s="2"/>
      <c r="I8" t="str">
        <f t="shared" ref="I8" si="4">$J$1&amp;C8&amp;$G$1&amp;D8&amp;$G$1&amp;E8&amp;$G$1&amp;F8&amp;$G$1&amp;G8&amp;$G$1&amp;A8&amp;$G$1&amp;B8&amp;$G$1&amp;H8&amp;$F$1</f>
        <v>insert into data_auth_mapper_config (SQL_ID, FILTER_TYPE, IS_NEST, JOIN_COLUMN_NAME, FILTER_SQL, SYSTEM_CODE, PAGE_ID,DATA_TYPE,CREATE_USER, CREATE_DEPT, CREATE_TIME, UPDATE_USER, UPDATE_TIME) values ('com.joyintech.tams.report.submitmanagement.checkreport.dao.ProRegistCodeManage001Mapper.getProdinfo','1','01','','select * from ( %s ) b LEFT JOIN (select f.finprod_market_id,di.institution_code from fin_product f left join DATA_AUTH_NOTIFY_INST di on f.finprod_id=di.business_id and di.model_type = ''02'' and DI.DATA_TYPE=''FINPROD04'') di on di.finprod_market_id = b.prod_id where di.institution_code in %s','SVR','ProRegistCodeManage001','', 'admin', null, sysdate, 'admin', sysdate);</v>
      </c>
      <c r="K8" t="str">
        <f t="shared" ref="K8" si="5">CONCATENATE("DELETE FROM data_auth_mapper_config WHERE SQL_ID =  '",C8,"';")</f>
        <v>DELETE FROM data_auth_mapper_config WHERE SQL_ID =  'com.joyintech.tams.report.submitmanagement.checkreport.dao.ProRegistCodeManage001Mapper.getProdinfo';</v>
      </c>
    </row>
    <row r="9" spans="1:11" ht="14.5" x14ac:dyDescent="0.3">
      <c r="A9" s="4" t="s">
        <v>9</v>
      </c>
      <c r="B9" t="s">
        <v>17</v>
      </c>
      <c r="C9" s="5" t="s">
        <v>20</v>
      </c>
      <c r="D9" s="2" t="s">
        <v>15</v>
      </c>
      <c r="E9" s="2" t="s">
        <v>54</v>
      </c>
      <c r="F9" s="2"/>
      <c r="G9" s="5" t="s">
        <v>144</v>
      </c>
      <c r="H9" s="2"/>
      <c r="I9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('com.joyintech.tams.report.submitmanagement.checkreport.dao.CheckReport001Mapper.queryPrdNameList','1','01','','select * from ( %s ) b LEFT JOIN (select f.finprod_market_id,di.institution_code from fin_product f left join DATA_AUTH_NOTIFY_INST di on f.finprod_id=di.business_id and di.model_type = ''02'' and DI.DATA_TYPE=''FINPROD04'') di on di.finprod_market_id = b.code where di.institution_code in %s','SVR','ProRegistCodeManage001','', 'admin', null, sysdate, 'admin', sysdate);</v>
      </c>
      <c r="K9" t="str">
        <f t="shared" si="1"/>
        <v>DELETE FROM data_auth_mapper_config WHERE SQL_ID =  'com.joyintech.tams.report.submitmanagement.checkreport.dao.CheckReport001Mapper.queryPrdNameList';</v>
      </c>
    </row>
    <row r="10" spans="1:11" ht="14.5" x14ac:dyDescent="0.3">
      <c r="A10" s="4" t="s">
        <v>9</v>
      </c>
      <c r="B10" t="s">
        <v>17</v>
      </c>
      <c r="C10" s="5" t="s">
        <v>18</v>
      </c>
      <c r="D10" s="2" t="s">
        <v>21</v>
      </c>
      <c r="E10" s="2" t="s">
        <v>54</v>
      </c>
      <c r="F10" s="2"/>
      <c r="G10" s="5" t="s">
        <v>144</v>
      </c>
      <c r="H10" s="2"/>
      <c r="I10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('com.joyintech.tams.report.submitmanagement.checkreport.dao.CheckReport001Mapper.queryPrdNameListOld','1','01','','select * from ( %s ) b LEFT JOIN (select f.finprod_market_id,di.institution_code from fin_product f left join DATA_AUTH_NOTIFY_INST di on f.finprod_id=di.business_id and di.model_type = ''02'' and DI.DATA_TYPE=''FINPROD04'') di on di.finprod_market_id = b.code where di.institution_code in %s','SVR','ProRegistCodeManage001','', 'admin', null, sysdate, 'admin', sysdate);</v>
      </c>
      <c r="K10" t="str">
        <f t="shared" si="1"/>
        <v>DELETE FROM data_auth_mapper_config WHERE SQL_ID =  'com.joyintech.tams.report.submitmanagement.checkreport.dao.CheckReport001Mapper.queryPrdNameListOld';</v>
      </c>
    </row>
    <row r="11" spans="1:11" ht="14.5" x14ac:dyDescent="0.3">
      <c r="A11" s="4" t="s">
        <v>9</v>
      </c>
      <c r="B11" t="s">
        <v>17</v>
      </c>
      <c r="C11" s="5" t="s">
        <v>31</v>
      </c>
      <c r="D11" s="2" t="s">
        <v>22</v>
      </c>
      <c r="E11" s="2" t="s">
        <v>54</v>
      </c>
      <c r="F11" s="2"/>
      <c r="G11" s="5" t="s">
        <v>143</v>
      </c>
      <c r="H11" s="2"/>
      <c r="I11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('com.joyintech.tams.report.system.proregistcodemanage.dao.ProRegistCodeManage001Mapper.queryPrdRegList','1','01','','select * from ( %s ) b LEFT JOIN (select c.REG_CODE finprod_market_id,di.institution_code from CHB_PRDRESIST_CODE c left join fin_product f on c.prodid=f.finprod_market_id left join DATA_AUTH_NOTIFY_INST di on f.finprod_id=di.business_id and di.model_type = ''02'' and DI.DATA_TYPE=''FINPROD04'') di on di.finprod_market_id = b.id where di.institution_code in %s','SVR','ProRegistCodeManage001','', 'admin', null, sysdate, 'admin', sysdate);</v>
      </c>
      <c r="K11" t="str">
        <f t="shared" si="1"/>
        <v>DELETE FROM data_auth_mapper_config WHERE SQL_ID =  'com.joyintech.tams.report.system.proregistcodemanage.dao.ProRegistCodeManage001Mapper.queryPrdRegList';</v>
      </c>
    </row>
    <row r="12" spans="1:11" ht="14.5" x14ac:dyDescent="0.3">
      <c r="A12" s="4" t="s">
        <v>9</v>
      </c>
      <c r="B12" t="s">
        <v>17</v>
      </c>
      <c r="C12" s="5" t="s">
        <v>19</v>
      </c>
      <c r="D12" s="2" t="s">
        <v>22</v>
      </c>
      <c r="E12" s="2" t="s">
        <v>54</v>
      </c>
      <c r="F12" s="2"/>
      <c r="G12" s="5" t="s">
        <v>134</v>
      </c>
      <c r="H12" s="2"/>
      <c r="I12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('com.joyintech.tams.report.system.proregistcodemanage.dao.ProRegistCodeManage001Mapper.queryForPage','1','01','','select * from ( %s ) b LEFT JOIN (select f.finprod_market_id,di.institution_code,di.belong_institution_code belongInstitutionCode,di.model_type from fin_product f left join DATA_AUTH_NOTIFY_INST di on f.finprod_id=di.business_id and di.model_type = ''02'' and DI.DATA_TYPE = ''FINPROD04'') di on di.finprod_market_id = b.prodId  where di.institution_code in %s','SVR','ProRegistCodeManage001','', 'admin', null, sysdate, 'admin', sysdate);</v>
      </c>
      <c r="K12" t="str">
        <f t="shared" si="1"/>
        <v>DELETE FROM data_auth_mapper_config WHERE SQL_ID =  'com.joyintech.tams.report.system.proregistcodemanage.dao.ProRegistCodeManage001Mapper.queryForPage';</v>
      </c>
    </row>
    <row r="13" spans="1:11" ht="14.5" x14ac:dyDescent="0.3">
      <c r="A13" s="4" t="s">
        <v>9</v>
      </c>
      <c r="B13" t="s">
        <v>17</v>
      </c>
      <c r="C13" s="5" t="s">
        <v>104</v>
      </c>
      <c r="D13" s="2" t="s">
        <v>15</v>
      </c>
      <c r="E13" s="2" t="s">
        <v>54</v>
      </c>
      <c r="F13" s="2"/>
      <c r="G13" s="5" t="s">
        <v>103</v>
      </c>
      <c r="H13" s="2"/>
      <c r="I13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('com.joyintech.tams.report.system.proregistcodemanage.dao.ProRegistCodeManage001Mapper.queryForPageOld','1','01','','select * from ( %s ) b LEFT JOIN (select f.finprod_market_id,di.institution_code,di.belong_institution_code belongInstitutionCode,di.model_type from fin_product f left join DATA_AUTH_NOTIFY_INST di on f.finprod_id=di.business_id and di.model_type = ''02''  and di.data_type = ''FINPROD04'') di on di.finprod_market_id = b.prodId  where di.institution_code in %s','SVR','ProRegistCodeManage001','', 'admin', null, sysdate, 'admin', sysdate);</v>
      </c>
      <c r="K13" t="str">
        <f t="shared" si="1"/>
        <v>DELETE FROM data_auth_mapper_config WHERE SQL_ID =  'com.joyintech.tams.report.system.proregistcodemanage.dao.ProRegistCodeManage001Mapper.queryForPageOld';</v>
      </c>
    </row>
    <row r="14" spans="1:11" ht="14.5" x14ac:dyDescent="0.3">
      <c r="A14" s="4" t="s">
        <v>9</v>
      </c>
      <c r="B14" t="s">
        <v>23</v>
      </c>
      <c r="C14" t="s">
        <v>25</v>
      </c>
      <c r="D14" s="2" t="s">
        <v>15</v>
      </c>
      <c r="E14" s="2" t="s">
        <v>54</v>
      </c>
      <c r="F14" s="2"/>
      <c r="G14" s="5" t="s">
        <v>135</v>
      </c>
      <c r="H14" s="2"/>
      <c r="I14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('com.joyintech.tams.report.system.peoplebankcodepoolmanagement.dao.ProPeoplebankcodeManagement001DtoMapper.queryForPage','1','01','','select * from ( %s ) b LEFT JOIN (select f.finprod_market_id,di.institution_code from fin_product f left join DATA_AUTH_NOTIFY_INST di on f.finprod_id=di.business_id and di.model_type = ''02'' and DI.DATA_TYPE = ''FINPROD04'') di on di.finprod_market_id = b.insideProdId  where di.institution_code in %s','SVR','ProPeoplebankcodeManagement001','', 'admin', null, sysdate, 'admin', sysdate);</v>
      </c>
      <c r="K14" t="str">
        <f t="shared" si="1"/>
        <v>DELETE FROM data_auth_mapper_config WHERE SQL_ID =  'com.joyintech.tams.report.system.peoplebankcodepoolmanagement.dao.ProPeoplebankcodeManagement001DtoMapper.queryForPage';</v>
      </c>
    </row>
    <row r="15" spans="1:11" s="11" customFormat="1" ht="14.5" x14ac:dyDescent="0.3">
      <c r="A15" s="10" t="s">
        <v>9</v>
      </c>
      <c r="B15" s="11" t="s">
        <v>24</v>
      </c>
      <c r="C15" s="11" t="s">
        <v>26</v>
      </c>
      <c r="D15" s="12" t="s">
        <v>15</v>
      </c>
      <c r="E15" s="2" t="s">
        <v>54</v>
      </c>
      <c r="F15" s="12"/>
      <c r="G15" s="13" t="s">
        <v>136</v>
      </c>
      <c r="H15" s="12"/>
      <c r="I15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('com.joyintech.tams.report.system.peoplebankcodepoolmanagement.dao.ProPeoplebankcodeManagement001DtoMapper.queryInsideProdIdList','1','01','','select * from ( %s ) b LEFT JOIN (select f.finprod_market_id,di.institution_code  from fin_product f left join DATA_AUTH_NOTIFY_INST di on f.finprod_id=di.business_id and di.model_type = ''02'' and DI.DATA_TYPE = ''FINPROD04'') di on di.finprod_market_id = b.id where di.institution_code in %s','SVR','ProPeoplebankcodeManagement001','', 'admin', null, sysdate, 'admin', sysdate);</v>
      </c>
      <c r="K15" t="str">
        <f t="shared" si="1"/>
        <v>DELETE FROM data_auth_mapper_config WHERE SQL_ID =  'com.joyintech.tams.report.system.peoplebankcodepoolmanagement.dao.ProPeoplebankcodeManagement001DtoMapper.queryInsideProdIdList';</v>
      </c>
    </row>
    <row r="16" spans="1:11" ht="14.5" x14ac:dyDescent="0.3">
      <c r="A16" s="4" t="s">
        <v>9</v>
      </c>
      <c r="B16" t="s">
        <v>27</v>
      </c>
      <c r="C16" t="s">
        <v>28</v>
      </c>
      <c r="D16" s="2" t="s">
        <v>15</v>
      </c>
      <c r="E16" s="2" t="s">
        <v>54</v>
      </c>
      <c r="F16" s="2"/>
      <c r="G16" s="5" t="s">
        <v>137</v>
      </c>
      <c r="H16" s="2"/>
      <c r="I16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('com.joyintech.tams.report.system.systempbccapassetinfo.dao.PbcCapAssetInfo001DtoMapper.queryForPage','1','01','','select * from ( %s ) b LEFT JOIN (select f.finprod_market_id,di.institution_code from fin_product f left join DATA_AUTH_NOTIFY_INST di on f.finprod_id=di.business_id and di.model_type = ''02'' and DI.DATA_TYPE = ''FINPROD04'') di on di.finprod_market_id = b.assetCode where di.institution_code in %s','SVR','PbcCapAssetInfo001','', 'admin', null, sysdate, 'admin', sysdate);</v>
      </c>
      <c r="K16" t="str">
        <f t="shared" si="1"/>
        <v>DELETE FROM data_auth_mapper_config WHERE SQL_ID =  'com.joyintech.tams.report.system.systempbccapassetinfo.dao.PbcCapAssetInfo001DtoMapper.queryForPage';</v>
      </c>
    </row>
    <row r="17" spans="1:11" ht="14.5" x14ac:dyDescent="0.3">
      <c r="A17" s="4" t="s">
        <v>9</v>
      </c>
      <c r="B17" t="s">
        <v>27</v>
      </c>
      <c r="C17" t="s">
        <v>29</v>
      </c>
      <c r="D17" s="2" t="s">
        <v>15</v>
      </c>
      <c r="E17" s="2" t="s">
        <v>54</v>
      </c>
      <c r="F17" s="2"/>
      <c r="G17" s="5" t="s">
        <v>138</v>
      </c>
      <c r="H17" s="2"/>
      <c r="I17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('com.joyintech.tams.report.system.systempbccapassetinfo.dao.PbcCapAssetInfo001DtoMapper.getAssetCodeList','1','01','','select * from ( %s ) b LEFT JOIN (select f.finprod_market_id,di.institution_code from fin_product f left join DATA_AUTH_NOTIFY_INST di on f.finprod_id=di.business_id and di.model_type = ''02'' and DI.DATA_TYPE = ''FINPROD04'') di on di.finprod_market_id = b.id where di.institution_code in %s','SVR','PbcCapAssetInfo001','', 'admin', null, sysdate, 'admin', sysdate);</v>
      </c>
      <c r="K17" t="str">
        <f t="shared" si="1"/>
        <v>DELETE FROM data_auth_mapper_config WHERE SQL_ID =  'com.joyintech.tams.report.system.systempbccapassetinfo.dao.PbcCapAssetInfo001DtoMapper.getAssetCodeList';</v>
      </c>
    </row>
    <row r="18" spans="1:11" ht="14.5" x14ac:dyDescent="0.3">
      <c r="A18" s="4" t="s">
        <v>9</v>
      </c>
      <c r="B18" t="s">
        <v>27</v>
      </c>
      <c r="C18" t="s">
        <v>30</v>
      </c>
      <c r="D18" s="2" t="s">
        <v>15</v>
      </c>
      <c r="E18" s="2" t="s">
        <v>54</v>
      </c>
      <c r="F18" s="2"/>
      <c r="G18" s="5" t="s">
        <v>139</v>
      </c>
      <c r="H18" s="2"/>
      <c r="I18" t="str">
        <f t="shared" si="0"/>
        <v>insert into data_auth_mapper_config (SQL_ID, FILTER_TYPE, IS_NEST, JOIN_COLUMN_NAME, FILTER_SQL, SYSTEM_CODE, PAGE_ID,DATA_TYPE,CREATE_USER, CREATE_DEPT, CREATE_TIME, UPDATE_USER, UPDATE_TIME) values ('com.joyintech.tams.report.system.systempbccapassetinfo.dao.PbcCapAssetInfo001DtoMapper.setPobCasSeTidList','1','01','','select * from ( %s ) b LEFT JOIN (select p.pobcassetid finprod_market_id,di.institution_code from PBC_CAP_ASSET_INFO p left join fin_product f on p.assetid=f.finprod_market_id left join DATA_AUTH_NOTIFY_INST di on f.finprod_id=di.business_id and di.model_type = ''02'' and DI.DATA_TYPE = ''FINPROD04'') di on di.finprod_market_id = b.id where di.institution_code in %s','SVR','PbcCapAssetInfo001','', 'admin', null, sysdate, 'admin', sysdate);</v>
      </c>
      <c r="K18" t="str">
        <f t="shared" si="1"/>
        <v>DELETE FROM data_auth_mapper_config WHERE SQL_ID =  'com.joyintech.tams.report.system.systempbccapassetinfo.dao.PbcCapAssetInfo001DtoMapper.setPobCasSeTidList';</v>
      </c>
    </row>
    <row r="19" spans="1:11" s="11" customFormat="1" ht="14.5" x14ac:dyDescent="0.3">
      <c r="A19" s="10" t="s">
        <v>9</v>
      </c>
      <c r="B19" s="11" t="s">
        <v>63</v>
      </c>
      <c r="C19" s="11" t="s">
        <v>64</v>
      </c>
      <c r="D19" s="12" t="s">
        <v>15</v>
      </c>
      <c r="E19" s="2" t="s">
        <v>54</v>
      </c>
      <c r="F19" s="12"/>
      <c r="G19" s="13" t="s">
        <v>142</v>
      </c>
      <c r="H19" s="12"/>
      <c r="I19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('com.joyintech.tams.svreport.chb.prodpersonissue.dao.ProdPersonIssue001Mapper.queryForProdPersonIssuePage','1','01','','select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%s','SVR','SvrProdPersonIssue001','', 'admin', null, sysdate, 'admin', sysdate);</v>
      </c>
      <c r="K19" t="str">
        <f t="shared" si="1"/>
        <v>DELETE FROM data_auth_mapper_config WHERE SQL_ID =  'com.joyintech.tams.svreport.chb.prodpersonissue.dao.ProdPersonIssue001Mapper.queryForProdPersonIssuePage';</v>
      </c>
    </row>
    <row r="20" spans="1:11" ht="14.5" x14ac:dyDescent="0.3">
      <c r="A20" s="4" t="s">
        <v>9</v>
      </c>
      <c r="B20" t="s">
        <v>32</v>
      </c>
      <c r="C20" t="s">
        <v>141</v>
      </c>
      <c r="D20" s="2" t="s">
        <v>15</v>
      </c>
      <c r="E20" s="2" t="s">
        <v>54</v>
      </c>
      <c r="F20" s="2"/>
      <c r="G20" s="13" t="s">
        <v>130</v>
      </c>
      <c r="H20" s="2"/>
      <c r="I20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('com.joyintech.tams.svreport.chb.proddurationreg.dao.ProdDurationReg001Mapper.selectAllData','1','01','','select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%s','SVR','SvrProdDurationReg001','', 'admin', null, sysdate, 'admin', sysdate);</v>
      </c>
      <c r="K20" t="str">
        <f t="shared" si="1"/>
        <v>DELETE FROM data_auth_mapper_config WHERE SQL_ID =  'com.joyintech.tams.svreport.chb.proddurationreg.dao.ProdDurationReg001Mapper.selectAllData';</v>
      </c>
    </row>
    <row r="21" spans="1:11" ht="14.5" x14ac:dyDescent="0.3">
      <c r="A21" s="4" t="s">
        <v>9</v>
      </c>
      <c r="B21" t="s">
        <v>34</v>
      </c>
      <c r="C21" t="s">
        <v>33</v>
      </c>
      <c r="D21" s="2" t="s">
        <v>15</v>
      </c>
      <c r="E21" s="2" t="s">
        <v>54</v>
      </c>
      <c r="F21" s="2"/>
      <c r="G21" s="13" t="s">
        <v>131</v>
      </c>
      <c r="H21" s="2"/>
      <c r="I21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('com.joyintech.tams.svreport.chb.prodraisetotalregist.dao.RaiseTotalRegist001Mapper.selectAllData','1','01','','select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%s','SVR','SvrRaiseTotalRegist001','', 'admin', null, sysdate, 'admin', sysdate);</v>
      </c>
      <c r="K21" t="str">
        <f t="shared" si="1"/>
        <v>DELETE FROM data_auth_mapper_config WHERE SQL_ID =  'com.joyintech.tams.svreport.chb.prodraisetotalregist.dao.RaiseTotalRegist001Mapper.selectAllData';</v>
      </c>
    </row>
    <row r="22" spans="1:11" ht="14.5" x14ac:dyDescent="0.3">
      <c r="A22" s="4" t="s">
        <v>9</v>
      </c>
      <c r="B22" t="s">
        <v>56</v>
      </c>
      <c r="C22" t="s">
        <v>55</v>
      </c>
      <c r="D22" s="2" t="s">
        <v>15</v>
      </c>
      <c r="E22" s="2" t="s">
        <v>54</v>
      </c>
      <c r="F22" s="2"/>
      <c r="G22" s="13" t="s">
        <v>129</v>
      </c>
      <c r="H22" s="2"/>
      <c r="I22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('com.joyintech.tams.svreport.chb.perprodeclarereg.dao.PerProDeclareReg001Mapper.selectAllData','1','01','','select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%s','SVR','SvrPerProDeclareReg001','', 'admin', null, sysdate, 'admin', sysdate);</v>
      </c>
      <c r="K22" t="str">
        <f t="shared" si="1"/>
        <v>DELETE FROM data_auth_mapper_config WHERE SQL_ID =  'com.joyintech.tams.svreport.chb.perprodeclarereg.dao.PerProDeclareReg001Mapper.selectAllData';</v>
      </c>
    </row>
    <row r="23" spans="1:11" ht="14.5" x14ac:dyDescent="0.3">
      <c r="A23" s="4" t="s">
        <v>9</v>
      </c>
      <c r="B23" t="s">
        <v>35</v>
      </c>
      <c r="C23" t="s">
        <v>36</v>
      </c>
      <c r="D23" s="2" t="s">
        <v>15</v>
      </c>
      <c r="E23" s="2" t="s">
        <v>54</v>
      </c>
      <c r="F23" s="2"/>
      <c r="G23" s="13" t="s">
        <v>133</v>
      </c>
      <c r="H23" s="2"/>
      <c r="I23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('com.joyintech.tams.svreport.chb.prodterminationregist.dao.ProdTerminationRegist001Mapper.selectAllData','1','01','','select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%s','SVR','SvrProdTerminationRegist001','', 'admin', null, sysdate, 'admin', sysdate);</v>
      </c>
      <c r="K23" t="str">
        <f t="shared" si="1"/>
        <v>DELETE FROM data_auth_mapper_config WHERE SQL_ID =  'com.joyintech.tams.svreport.chb.prodterminationregist.dao.ProdTerminationRegist001Mapper.selectAllData';</v>
      </c>
    </row>
    <row r="24" spans="1:11" ht="14.5" x14ac:dyDescent="0.3">
      <c r="A24" s="4" t="s">
        <v>9</v>
      </c>
      <c r="B24" t="s">
        <v>37</v>
      </c>
      <c r="C24" t="s">
        <v>38</v>
      </c>
      <c r="D24" s="2" t="s">
        <v>15</v>
      </c>
      <c r="E24" s="2" t="s">
        <v>54</v>
      </c>
      <c r="F24" s="2"/>
      <c r="G24" s="5" t="s">
        <v>132</v>
      </c>
      <c r="H24" s="2"/>
      <c r="I24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('com.joyintech.tams.svreport.chb.astvalueregist.dao.ChbAstValueRegist001Mapper.searchPage','1','01','','select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b.assetCode where di.institution_code in %s','SVR','SvrChbAstValueRegist001','', 'admin', null, sysdate, 'admin', sysdate);</v>
      </c>
      <c r="K24" t="str">
        <f t="shared" si="1"/>
        <v>DELETE FROM data_auth_mapper_config WHERE SQL_ID =  'com.joyintech.tams.svreport.chb.astvalueregist.dao.ChbAstValueRegist001Mapper.searchPage';</v>
      </c>
    </row>
    <row r="25" spans="1:11" ht="14.5" x14ac:dyDescent="0.3">
      <c r="A25" s="4" t="s">
        <v>9</v>
      </c>
      <c r="B25" t="s">
        <v>39</v>
      </c>
      <c r="C25" t="s">
        <v>100</v>
      </c>
      <c r="D25" s="2" t="s">
        <v>15</v>
      </c>
      <c r="E25" s="2" t="s">
        <v>54</v>
      </c>
      <c r="F25" s="2"/>
      <c r="G25" s="13" t="s">
        <v>140</v>
      </c>
      <c r="H25" s="2"/>
      <c r="I25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('com.joyintech.tams.svreport.chb.investtradereg.dao.InvestTradeRegist001Mapper.selectAllData','1','01','','select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%s','SVR','SvrInvestTradeRegist001','', 'admin', null, sysdate, 'admin', sysdate);</v>
      </c>
      <c r="K25" t="str">
        <f t="shared" si="1"/>
        <v>DELETE FROM data_auth_mapper_config WHERE SQL_ID =  'com.joyintech.tams.svreport.chb.investtradereg.dao.InvestTradeRegist001Mapper.selectAllData';</v>
      </c>
    </row>
    <row r="26" spans="1:11" ht="14.5" x14ac:dyDescent="0.3">
      <c r="A26" s="4" t="s">
        <v>9</v>
      </c>
      <c r="B26" t="s">
        <v>40</v>
      </c>
      <c r="C26" t="s">
        <v>41</v>
      </c>
      <c r="D26" s="2" t="s">
        <v>15</v>
      </c>
      <c r="E26" s="2" t="s">
        <v>54</v>
      </c>
      <c r="F26" s="2"/>
      <c r="G26" s="13" t="s">
        <v>131</v>
      </c>
      <c r="H26" s="2"/>
      <c r="I26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('com.joyintech.tams.svreport.pbc.classic.prdbaseinfosub.dao.PbcPrdBaseinfoSubMapper.searchPage','1','01','','select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%s','SVR','PbcPrdBaseinfoSub','', 'admin', null, sysdate, 'admin', sysdate);</v>
      </c>
      <c r="K26" t="str">
        <f t="shared" si="1"/>
        <v>DELETE FROM data_auth_mapper_config WHERE SQL_ID =  'com.joyintech.tams.svreport.pbc.classic.prdbaseinfosub.dao.PbcPrdBaseinfoSubMapper.searchPage';</v>
      </c>
    </row>
    <row r="27" spans="1:11" ht="14.5" x14ac:dyDescent="0.3">
      <c r="A27" s="4" t="s">
        <v>9</v>
      </c>
      <c r="B27" t="s">
        <v>42</v>
      </c>
      <c r="C27" t="s">
        <v>43</v>
      </c>
      <c r="D27" s="2" t="s">
        <v>15</v>
      </c>
      <c r="E27" s="2" t="s">
        <v>54</v>
      </c>
      <c r="F27" s="2"/>
      <c r="G27" s="13" t="s">
        <v>130</v>
      </c>
      <c r="H27" s="2"/>
      <c r="I27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('com.joyintech.tams.svreport.pbc.classic.prdinitraisesub.dao.PbcInitProdRaisingSubMapper.searchPage','1','01','','select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%s','SVR','PbcPrdInitRaiseSub','', 'admin', null, sysdate, 'admin', sysdate);</v>
      </c>
      <c r="K27" t="str">
        <f t="shared" si="1"/>
        <v>DELETE FROM data_auth_mapper_config WHERE SQL_ID =  'com.joyintech.tams.svreport.pbc.classic.prdinitraisesub.dao.PbcInitProdRaisingSubMapper.searchPage';</v>
      </c>
    </row>
    <row r="28" spans="1:11" ht="14.5" x14ac:dyDescent="0.3">
      <c r="A28" s="4" t="s">
        <v>9</v>
      </c>
      <c r="B28" t="s">
        <v>45</v>
      </c>
      <c r="C28" t="s">
        <v>44</v>
      </c>
      <c r="D28" s="2" t="s">
        <v>15</v>
      </c>
      <c r="E28" s="2" t="s">
        <v>54</v>
      </c>
      <c r="F28" s="2"/>
      <c r="G28" s="13" t="s">
        <v>130</v>
      </c>
      <c r="H28" s="2"/>
      <c r="I28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('com.joyintech.tams.svreport.pbc.classic.prdinfoendsub.dao.PbcPrdBaseinfoEndSubMapper.searchPage','1','01','','select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%s','SVR','PbcPrdBaseinfoEndSub','', 'admin', null, sysdate, 'admin', sysdate);</v>
      </c>
      <c r="K28" t="str">
        <f t="shared" si="1"/>
        <v>DELETE FROM data_auth_mapper_config WHERE SQL_ID =  'com.joyintech.tams.svreport.pbc.classic.prdinfoendsub.dao.PbcPrdBaseinfoEndSubMapper.searchPage';</v>
      </c>
    </row>
    <row r="29" spans="1:11" ht="14.5" x14ac:dyDescent="0.3">
      <c r="A29" s="4" t="s">
        <v>9</v>
      </c>
      <c r="B29" t="s">
        <v>46</v>
      </c>
      <c r="C29" t="s">
        <v>47</v>
      </c>
      <c r="D29" s="2" t="s">
        <v>15</v>
      </c>
      <c r="E29" s="2" t="s">
        <v>54</v>
      </c>
      <c r="F29" s="2"/>
      <c r="G29" s="13" t="s">
        <v>129</v>
      </c>
      <c r="H29" s="2"/>
      <c r="I29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('com.joyintech.tams.svreport.pbc.classic.prdcashraisesub.dao.PbcProdRaiseSubMapper.searchPageForOnePrd','1','01','','select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%s','SVR','PbcPrdCashRaiseSub','', 'admin', null, sysdate, 'admin', sysdate);</v>
      </c>
      <c r="K29" t="str">
        <f t="shared" si="1"/>
        <v>DELETE FROM data_auth_mapper_config WHERE SQL_ID =  'com.joyintech.tams.svreport.pbc.classic.prdcashraisesub.dao.PbcProdRaiseSubMapper.searchPageForOnePrd';</v>
      </c>
    </row>
    <row r="30" spans="1:11" ht="14.5" x14ac:dyDescent="0.3">
      <c r="A30" s="4" t="s">
        <v>9</v>
      </c>
      <c r="B30" t="s">
        <v>48</v>
      </c>
      <c r="C30" t="s">
        <v>57</v>
      </c>
      <c r="D30" s="2" t="s">
        <v>15</v>
      </c>
      <c r="E30" s="2" t="s">
        <v>54</v>
      </c>
      <c r="F30" s="2"/>
      <c r="G30" s="5" t="s">
        <v>128</v>
      </c>
      <c r="H30" s="2"/>
      <c r="I30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('com.joyintech.tams.svreport.pbc.classic.prdacccountsub.dao.PbcPrdAccountSubMapper.searchPage','1','01','','select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b.accountId  where di.institution_code in %s','SVR','PbcPrdAccountSub','', 'admin', null, sysdate, 'admin', sysdate);</v>
      </c>
      <c r="K30" t="str">
        <f t="shared" si="1"/>
        <v>DELETE FROM data_auth_mapper_config WHERE SQL_ID =  'com.joyintech.tams.svreport.pbc.classic.prdacccountsub.dao.PbcPrdAccountSubMapper.searchPage';</v>
      </c>
    </row>
    <row r="31" spans="1:11" ht="14.5" x14ac:dyDescent="0.3">
      <c r="A31" s="4" t="s">
        <v>9</v>
      </c>
      <c r="B31" t="s">
        <v>49</v>
      </c>
      <c r="C31" t="s">
        <v>50</v>
      </c>
      <c r="D31" s="2" t="s">
        <v>15</v>
      </c>
      <c r="E31" s="2" t="s">
        <v>54</v>
      </c>
      <c r="F31" s="2"/>
      <c r="G31" s="5" t="s">
        <v>127</v>
      </c>
      <c r="H31" s="2"/>
      <c r="I31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('com.joyintech.tams.svreport.pbc.classic.prdaccountendsub.dao.PbcPrdAccountEndSubMapper.searchPage','1','01','','select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b.accountId where di.institution_code in %s','SVR','PbcPrdAccountEndSub','', 'admin', null, sysdate, 'admin', sysdate);</v>
      </c>
      <c r="K31" t="str">
        <f t="shared" si="1"/>
        <v>DELETE FROM data_auth_mapper_config WHERE SQL_ID =  'com.joyintech.tams.svreport.pbc.classic.prdaccountendsub.dao.PbcPrdAccountEndSubMapper.searchPage';</v>
      </c>
    </row>
    <row r="32" spans="1:11" ht="14.5" x14ac:dyDescent="0.3">
      <c r="A32" s="4" t="s">
        <v>9</v>
      </c>
      <c r="B32" t="s">
        <v>51</v>
      </c>
      <c r="C32" t="s">
        <v>52</v>
      </c>
      <c r="D32" s="2" t="s">
        <v>15</v>
      </c>
      <c r="E32" s="2" t="s">
        <v>54</v>
      </c>
      <c r="F32" s="2"/>
      <c r="G32" s="5" t="s">
        <v>126</v>
      </c>
      <c r="H32" s="2"/>
      <c r="I32" t="str">
        <f t="shared" si="0"/>
        <v>insert into data_auth_mapper_config (SQL_ID, FILTER_TYPE, IS_NEST, JOIN_COLUMN_NAME, FILTER_SQL, SYSTEM_CODE, PAGE_ID,DATA_TYPE,CREATE_USER, CREATE_DEPT, CREATE_TIME, UPDATE_USER, UPDATE_TIME) values ('com.joyintech.tams.svreport.pbc.report.dao.PbcMonthReportMapper.searchPageForOnePrd','1','01','','select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b.ACCOUNT_ID where di.institution_code in %s','SVR','PbcPrdAssetDebtSub','', 'admin', null, sysdate, 'admin', sysdate);</v>
      </c>
      <c r="K32" t="str">
        <f t="shared" si="1"/>
        <v>DELETE FROM data_auth_mapper_config WHERE SQL_ID =  'com.joyintech.tams.svreport.pbc.report.dao.PbcMonthReportMapper.searchPageForOnePrd';</v>
      </c>
    </row>
    <row r="33" spans="1:11" ht="14.5" x14ac:dyDescent="0.3">
      <c r="A33" s="4" t="s">
        <v>9</v>
      </c>
      <c r="B33" t="s">
        <v>48</v>
      </c>
      <c r="C33" t="s">
        <v>105</v>
      </c>
      <c r="D33" s="2" t="s">
        <v>106</v>
      </c>
      <c r="E33" s="2" t="s">
        <v>107</v>
      </c>
      <c r="F33" s="2"/>
      <c r="G33" s="5" t="s">
        <v>125</v>
      </c>
      <c r="H33" s="2"/>
      <c r="I33" t="s">
        <v>108</v>
      </c>
      <c r="K33" t="s">
        <v>109</v>
      </c>
    </row>
    <row r="34" spans="1:11" ht="14.5" x14ac:dyDescent="0.3">
      <c r="A34" s="4" t="s">
        <v>9</v>
      </c>
      <c r="B34" t="s">
        <v>48</v>
      </c>
      <c r="C34" t="s">
        <v>110</v>
      </c>
      <c r="D34" s="2" t="s">
        <v>106</v>
      </c>
      <c r="E34" s="2" t="s">
        <v>111</v>
      </c>
      <c r="F34" s="2"/>
      <c r="G34" s="5" t="s">
        <v>124</v>
      </c>
      <c r="H34" s="2"/>
      <c r="I34" t="s">
        <v>112</v>
      </c>
      <c r="K34" t="s">
        <v>113</v>
      </c>
    </row>
    <row r="35" spans="1:11" ht="14.5" x14ac:dyDescent="0.3">
      <c r="A35" s="4" t="s">
        <v>9</v>
      </c>
      <c r="B35" t="s">
        <v>114</v>
      </c>
      <c r="C35" t="s">
        <v>115</v>
      </c>
      <c r="D35" s="2" t="s">
        <v>106</v>
      </c>
      <c r="E35" s="2" t="s">
        <v>107</v>
      </c>
      <c r="F35" s="2"/>
      <c r="G35" s="5" t="s">
        <v>124</v>
      </c>
      <c r="H35" s="2"/>
      <c r="I35" t="s">
        <v>116</v>
      </c>
      <c r="K35" t="s">
        <v>117</v>
      </c>
    </row>
    <row r="36" spans="1:11" s="8" customFormat="1" ht="14.5" x14ac:dyDescent="0.3">
      <c r="A36" s="7" t="s">
        <v>118</v>
      </c>
      <c r="B36" s="8" t="s">
        <v>119</v>
      </c>
      <c r="C36" s="8" t="s">
        <v>99</v>
      </c>
      <c r="D36" s="9" t="s">
        <v>106</v>
      </c>
      <c r="E36" s="2" t="s">
        <v>120</v>
      </c>
      <c r="F36" s="9"/>
      <c r="G36" s="14" t="s">
        <v>123</v>
      </c>
      <c r="H36" s="9"/>
      <c r="I36" s="8" t="s">
        <v>121</v>
      </c>
      <c r="K36" t="s">
        <v>122</v>
      </c>
    </row>
    <row r="37" spans="1:11" x14ac:dyDescent="0.25">
      <c r="G37" s="6"/>
    </row>
    <row r="38" spans="1:11" x14ac:dyDescent="0.25">
      <c r="G38" s="6"/>
    </row>
    <row r="39" spans="1:11" x14ac:dyDescent="0.25">
      <c r="G39" s="6"/>
    </row>
    <row r="40" spans="1:11" x14ac:dyDescent="0.25">
      <c r="G40" s="6"/>
    </row>
    <row r="41" spans="1:11" x14ac:dyDescent="0.25">
      <c r="G41" s="6"/>
    </row>
    <row r="42" spans="1:11" x14ac:dyDescent="0.25">
      <c r="G42" s="6"/>
    </row>
    <row r="43" spans="1:11" x14ac:dyDescent="0.25">
      <c r="G43" s="6"/>
    </row>
    <row r="44" spans="1:11" x14ac:dyDescent="0.25">
      <c r="G44" s="6"/>
    </row>
    <row r="45" spans="1:11" x14ac:dyDescent="0.25">
      <c r="G45" s="6"/>
    </row>
    <row r="46" spans="1:11" x14ac:dyDescent="0.25">
      <c r="G46" s="6"/>
    </row>
    <row r="47" spans="1:11" x14ac:dyDescent="0.25">
      <c r="G47" s="6"/>
    </row>
    <row r="48" spans="1:11" x14ac:dyDescent="0.25">
      <c r="G48" s="6"/>
    </row>
    <row r="49" spans="7:7" x14ac:dyDescent="0.25">
      <c r="G49" s="6"/>
    </row>
    <row r="50" spans="7:7" x14ac:dyDescent="0.25">
      <c r="G50" s="6"/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2"/>
  <sheetViews>
    <sheetView workbookViewId="0">
      <selection activeCell="B3" sqref="B3"/>
    </sheetView>
  </sheetViews>
  <sheetFormatPr defaultRowHeight="14" x14ac:dyDescent="0.25"/>
  <sheetData>
    <row r="2" spans="2:6" x14ac:dyDescent="0.25">
      <c r="B2">
        <v>4222</v>
      </c>
    </row>
    <row r="3" spans="2:6" x14ac:dyDescent="0.25">
      <c r="B3">
        <v>4260</v>
      </c>
    </row>
    <row r="4" spans="2:6" x14ac:dyDescent="0.25">
      <c r="B4">
        <v>4260</v>
      </c>
    </row>
    <row r="5" spans="2:6" x14ac:dyDescent="0.25">
      <c r="B5">
        <v>424701</v>
      </c>
    </row>
    <row r="6" spans="2:6" x14ac:dyDescent="0.25">
      <c r="B6">
        <v>424702</v>
      </c>
    </row>
    <row r="7" spans="2:6" x14ac:dyDescent="0.25">
      <c r="F7" t="s">
        <v>61</v>
      </c>
    </row>
    <row r="8" spans="2:6" x14ac:dyDescent="0.25">
      <c r="F8" t="s">
        <v>62</v>
      </c>
    </row>
    <row r="9" spans="2:6" x14ac:dyDescent="0.25">
      <c r="B9" t="s">
        <v>98</v>
      </c>
    </row>
    <row r="10" spans="2:6" x14ac:dyDescent="0.25">
      <c r="B10" t="s">
        <v>76</v>
      </c>
    </row>
    <row r="11" spans="2:6" x14ac:dyDescent="0.25">
      <c r="B11" t="s">
        <v>86</v>
      </c>
    </row>
    <row r="12" spans="2:6" x14ac:dyDescent="0.25">
      <c r="B12" t="s">
        <v>91</v>
      </c>
    </row>
    <row r="13" spans="2:6" x14ac:dyDescent="0.25">
      <c r="B13" t="s">
        <v>90</v>
      </c>
    </row>
    <row r="14" spans="2:6" x14ac:dyDescent="0.25">
      <c r="B14" t="s">
        <v>96</v>
      </c>
    </row>
    <row r="15" spans="2:6" x14ac:dyDescent="0.25">
      <c r="B15" t="s">
        <v>87</v>
      </c>
    </row>
    <row r="16" spans="2:6" x14ac:dyDescent="0.25">
      <c r="B16" t="s">
        <v>97</v>
      </c>
    </row>
    <row r="17" spans="2:2" x14ac:dyDescent="0.25">
      <c r="B17" t="s">
        <v>65</v>
      </c>
    </row>
    <row r="18" spans="2:2" x14ac:dyDescent="0.25">
      <c r="B18" t="s">
        <v>74</v>
      </c>
    </row>
    <row r="19" spans="2:2" x14ac:dyDescent="0.25">
      <c r="B19" t="s">
        <v>78</v>
      </c>
    </row>
    <row r="20" spans="2:2" x14ac:dyDescent="0.25">
      <c r="B20" t="s">
        <v>81</v>
      </c>
    </row>
    <row r="21" spans="2:2" x14ac:dyDescent="0.25">
      <c r="B21" t="s">
        <v>66</v>
      </c>
    </row>
    <row r="22" spans="2:2" x14ac:dyDescent="0.25">
      <c r="B22" t="s">
        <v>72</v>
      </c>
    </row>
    <row r="23" spans="2:2" x14ac:dyDescent="0.25">
      <c r="B23" t="s">
        <v>84</v>
      </c>
    </row>
    <row r="24" spans="2:2" x14ac:dyDescent="0.25">
      <c r="B24" t="s">
        <v>85</v>
      </c>
    </row>
    <row r="25" spans="2:2" x14ac:dyDescent="0.25">
      <c r="B25" t="s">
        <v>89</v>
      </c>
    </row>
    <row r="26" spans="2:2" x14ac:dyDescent="0.25">
      <c r="B26" t="s">
        <v>75</v>
      </c>
    </row>
    <row r="27" spans="2:2" x14ac:dyDescent="0.25">
      <c r="B27" t="s">
        <v>68</v>
      </c>
    </row>
    <row r="28" spans="2:2" x14ac:dyDescent="0.25">
      <c r="B28" t="s">
        <v>77</v>
      </c>
    </row>
    <row r="29" spans="2:2" x14ac:dyDescent="0.25">
      <c r="B29" t="s">
        <v>80</v>
      </c>
    </row>
    <row r="30" spans="2:2" x14ac:dyDescent="0.25">
      <c r="B30" t="s">
        <v>79</v>
      </c>
    </row>
    <row r="31" spans="2:2" x14ac:dyDescent="0.25">
      <c r="B31" t="s">
        <v>95</v>
      </c>
    </row>
    <row r="32" spans="2:2" x14ac:dyDescent="0.25">
      <c r="B32" t="s">
        <v>88</v>
      </c>
    </row>
    <row r="33" spans="2:2" x14ac:dyDescent="0.25">
      <c r="B33" t="s">
        <v>94</v>
      </c>
    </row>
    <row r="34" spans="2:2" x14ac:dyDescent="0.25">
      <c r="B34" t="s">
        <v>73</v>
      </c>
    </row>
    <row r="35" spans="2:2" x14ac:dyDescent="0.25">
      <c r="B35" t="s">
        <v>71</v>
      </c>
    </row>
    <row r="36" spans="2:2" x14ac:dyDescent="0.25">
      <c r="B36" t="s">
        <v>93</v>
      </c>
    </row>
    <row r="37" spans="2:2" x14ac:dyDescent="0.25">
      <c r="B37" t="s">
        <v>70</v>
      </c>
    </row>
    <row r="38" spans="2:2" x14ac:dyDescent="0.25">
      <c r="B38" t="s">
        <v>92</v>
      </c>
    </row>
    <row r="39" spans="2:2" x14ac:dyDescent="0.25">
      <c r="B39" t="s">
        <v>67</v>
      </c>
    </row>
    <row r="40" spans="2:2" x14ac:dyDescent="0.25">
      <c r="B40" t="s">
        <v>82</v>
      </c>
    </row>
    <row r="41" spans="2:2" x14ac:dyDescent="0.25">
      <c r="B41" t="s">
        <v>83</v>
      </c>
    </row>
    <row r="42" spans="2:2" x14ac:dyDescent="0.25">
      <c r="B42" t="s">
        <v>69</v>
      </c>
    </row>
  </sheetData>
  <autoFilter ref="B2:B45"/>
  <sortState ref="B2:B45">
    <sortCondition ref="B2:B45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2020-07-01T02:30:39Z</dcterms:modified>
</cp:coreProperties>
</file>